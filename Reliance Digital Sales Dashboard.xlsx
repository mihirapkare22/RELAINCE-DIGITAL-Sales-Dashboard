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657f6bdae2a5759d/Desktop/Excel Project/"/>
    </mc:Choice>
  </mc:AlternateContent>
  <xr:revisionPtr revIDLastSave="420" documentId="13_ncr:1_{F2016FCF-3340-4C40-8F78-7DC9EF9C656F}" xr6:coauthVersionLast="47" xr6:coauthVersionMax="47" xr10:uidLastSave="{14473CDF-379F-4FFE-9545-B6A5BE8E8B16}"/>
  <bookViews>
    <workbookView xWindow="-108" yWindow="-108" windowWidth="23256" windowHeight="12456" activeTab="1" xr2:uid="{00000000-000D-0000-FFFF-FFFF00000000}"/>
  </bookViews>
  <sheets>
    <sheet name="DATA" sheetId="2" r:id="rId1"/>
    <sheet name="Pivot Table" sheetId="4" r:id="rId2"/>
    <sheet name="DASHBOARD" sheetId="6" r:id="rId3"/>
  </sheets>
  <definedNames>
    <definedName name="Slicer_PaymentMethod">#N/A</definedName>
    <definedName name="Slicer_Product">#N/A</definedName>
    <definedName name="Slicer_ReferralSour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2" i="2" l="1"/>
  <c r="L27" i="4"/>
  <c r="K27" i="4"/>
  <c r="J27" i="4"/>
  <c r="Q17" i="2"/>
  <c r="Q29" i="2"/>
  <c r="N27" i="4"/>
  <c r="M27" i="4"/>
  <c r="Q13" i="2"/>
  <c r="M5" i="2"/>
  <c r="M2" i="2"/>
  <c r="M3" i="2"/>
  <c r="M4"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Q21" i="2"/>
  <c r="Q9" i="2" l="1"/>
  <c r="N5" i="2"/>
  <c r="O5" i="2" s="1"/>
  <c r="N2" i="2"/>
  <c r="O2" i="2" s="1"/>
  <c r="N3" i="2"/>
  <c r="O3" i="2"/>
  <c r="N4" i="2"/>
  <c r="O4" i="2"/>
  <c r="N6" i="2"/>
  <c r="O6" i="2" s="1"/>
  <c r="N7" i="2"/>
  <c r="O7" i="2" s="1"/>
  <c r="N8" i="2"/>
  <c r="O8" i="2"/>
  <c r="N9" i="2"/>
  <c r="O9" i="2"/>
  <c r="N10" i="2"/>
  <c r="O10" i="2"/>
  <c r="N11" i="2"/>
  <c r="O11" i="2" s="1"/>
  <c r="N12" i="2"/>
  <c r="O12" i="2" s="1"/>
  <c r="N13" i="2"/>
  <c r="O13" i="2" s="1"/>
  <c r="N14" i="2"/>
  <c r="O14" i="2"/>
  <c r="N15" i="2"/>
  <c r="O15" i="2" s="1"/>
  <c r="N16" i="2"/>
  <c r="O16" i="2" s="1"/>
  <c r="N17" i="2"/>
  <c r="O17" i="2"/>
  <c r="N18" i="2"/>
  <c r="O18" i="2"/>
  <c r="N19" i="2"/>
  <c r="O19" i="2"/>
  <c r="N20" i="2"/>
  <c r="O20" i="2"/>
  <c r="N21" i="2"/>
  <c r="O21" i="2"/>
  <c r="N22" i="2"/>
  <c r="O22" i="2" s="1"/>
  <c r="N23" i="2"/>
  <c r="O23" i="2" s="1"/>
  <c r="N24" i="2"/>
  <c r="O24" i="2" s="1"/>
  <c r="N25" i="2"/>
  <c r="O25" i="2" s="1"/>
  <c r="N26" i="2"/>
  <c r="O26" i="2" s="1"/>
  <c r="N27" i="2"/>
  <c r="O27" i="2"/>
  <c r="N28" i="2"/>
  <c r="O28" i="2"/>
  <c r="N29" i="2"/>
  <c r="O29" i="2"/>
  <c r="N30" i="2"/>
  <c r="O30" i="2" s="1"/>
  <c r="N31" i="2"/>
  <c r="O31" i="2" s="1"/>
  <c r="N32" i="2"/>
  <c r="O32" i="2" s="1"/>
  <c r="N33" i="2"/>
  <c r="O33" i="2" s="1"/>
  <c r="N34" i="2"/>
  <c r="O34" i="2" s="1"/>
  <c r="N35" i="2"/>
  <c r="O35" i="2"/>
  <c r="N36" i="2"/>
  <c r="O36" i="2" s="1"/>
  <c r="N37" i="2"/>
  <c r="O37" i="2" s="1"/>
  <c r="N38" i="2"/>
  <c r="O38" i="2"/>
  <c r="N39" i="2"/>
  <c r="O39" i="2" s="1"/>
  <c r="N40" i="2"/>
  <c r="O40" i="2"/>
  <c r="N41" i="2"/>
  <c r="O41" i="2"/>
  <c r="N42" i="2"/>
  <c r="O42" i="2" s="1"/>
  <c r="N43" i="2"/>
  <c r="O43" i="2" s="1"/>
  <c r="N44" i="2"/>
  <c r="O44" i="2"/>
  <c r="N45" i="2"/>
  <c r="O45" i="2" s="1"/>
  <c r="N46" i="2"/>
  <c r="O46" i="2" s="1"/>
  <c r="N47" i="2"/>
  <c r="O47" i="2"/>
  <c r="N48" i="2"/>
  <c r="O48" i="2" s="1"/>
  <c r="N49" i="2"/>
  <c r="O49" i="2" s="1"/>
  <c r="N50" i="2"/>
  <c r="O50" i="2" s="1"/>
  <c r="N51" i="2"/>
  <c r="O51" i="2" s="1"/>
  <c r="N52" i="2"/>
  <c r="O52" i="2"/>
  <c r="N53" i="2"/>
  <c r="O53" i="2" s="1"/>
  <c r="N54" i="2"/>
  <c r="O54" i="2" s="1"/>
  <c r="N55" i="2"/>
  <c r="O55" i="2"/>
  <c r="N56" i="2"/>
  <c r="O56" i="2" s="1"/>
  <c r="N57" i="2"/>
  <c r="O57" i="2" s="1"/>
  <c r="N58" i="2"/>
  <c r="O58" i="2"/>
  <c r="N59" i="2"/>
  <c r="O59" i="2" s="1"/>
  <c r="N60" i="2"/>
  <c r="O60" i="2" s="1"/>
  <c r="N61" i="2"/>
  <c r="O61" i="2" s="1"/>
  <c r="N62" i="2"/>
  <c r="O62" i="2"/>
  <c r="N63" i="2"/>
  <c r="O63" i="2" s="1"/>
  <c r="N64" i="2"/>
  <c r="O64" i="2" s="1"/>
  <c r="N65" i="2"/>
  <c r="O65" i="2" s="1"/>
  <c r="N66" i="2"/>
  <c r="O66" i="2" s="1"/>
  <c r="N67" i="2"/>
  <c r="O67" i="2" s="1"/>
  <c r="N68" i="2"/>
  <c r="O68" i="2" s="1"/>
  <c r="N69" i="2"/>
  <c r="O69" i="2"/>
  <c r="N70" i="2"/>
  <c r="O70" i="2" s="1"/>
  <c r="N71" i="2"/>
  <c r="O71" i="2" s="1"/>
  <c r="N72" i="2"/>
  <c r="O72" i="2"/>
  <c r="N73" i="2"/>
  <c r="O73" i="2"/>
  <c r="N74" i="2"/>
  <c r="O74" i="2" s="1"/>
  <c r="N75" i="2"/>
  <c r="O75" i="2" s="1"/>
  <c r="N76" i="2"/>
  <c r="O76" i="2" s="1"/>
  <c r="N77" i="2"/>
  <c r="O77" i="2" s="1"/>
  <c r="N78" i="2"/>
  <c r="O78" i="2"/>
  <c r="N79" i="2"/>
  <c r="O79" i="2" s="1"/>
  <c r="N80" i="2"/>
  <c r="O80" i="2"/>
  <c r="N81" i="2"/>
  <c r="O81" i="2" s="1"/>
  <c r="N82" i="2"/>
  <c r="O82" i="2"/>
  <c r="N83" i="2"/>
  <c r="O83" i="2" s="1"/>
  <c r="N84" i="2"/>
  <c r="O84" i="2" s="1"/>
  <c r="N85" i="2"/>
  <c r="O85" i="2" s="1"/>
  <c r="N86" i="2"/>
  <c r="O86" i="2" s="1"/>
  <c r="N87" i="2"/>
  <c r="O87" i="2" s="1"/>
  <c r="N88" i="2"/>
  <c r="O88" i="2" s="1"/>
  <c r="N89" i="2"/>
  <c r="O89" i="2" s="1"/>
  <c r="N90" i="2"/>
  <c r="O90" i="2" s="1"/>
  <c r="N91" i="2"/>
  <c r="O91" i="2" s="1"/>
  <c r="N92" i="2"/>
  <c r="O92" i="2"/>
  <c r="N93" i="2"/>
  <c r="O93" i="2"/>
  <c r="N94" i="2"/>
  <c r="O94" i="2" s="1"/>
  <c r="N95" i="2"/>
  <c r="O95" i="2"/>
  <c r="N96" i="2"/>
  <c r="O96" i="2"/>
  <c r="N97" i="2"/>
  <c r="O97" i="2" s="1"/>
  <c r="N98" i="2"/>
  <c r="O98" i="2" s="1"/>
  <c r="N99" i="2"/>
  <c r="O99" i="2" s="1"/>
  <c r="N100" i="2"/>
  <c r="O100" i="2" s="1"/>
  <c r="N101" i="2"/>
  <c r="O101" i="2"/>
  <c r="N102" i="2"/>
  <c r="O102" i="2" s="1"/>
  <c r="N103" i="2"/>
  <c r="O103" i="2"/>
  <c r="N104" i="2"/>
  <c r="O104" i="2" s="1"/>
  <c r="N105" i="2"/>
  <c r="O105" i="2" s="1"/>
  <c r="N106" i="2"/>
  <c r="O106" i="2"/>
  <c r="N107" i="2"/>
  <c r="O107" i="2" s="1"/>
  <c r="N108" i="2"/>
  <c r="O108" i="2"/>
  <c r="N109" i="2"/>
  <c r="O109" i="2" s="1"/>
  <c r="N110" i="2"/>
  <c r="O110" i="2"/>
  <c r="N111" i="2"/>
  <c r="O111" i="2"/>
  <c r="N112" i="2"/>
  <c r="O112" i="2" s="1"/>
  <c r="N113" i="2"/>
  <c r="O113" i="2" s="1"/>
  <c r="N114" i="2"/>
  <c r="O114" i="2" s="1"/>
  <c r="N115" i="2"/>
  <c r="O115" i="2" s="1"/>
  <c r="N116" i="2"/>
  <c r="O116" i="2" s="1"/>
  <c r="N117" i="2"/>
  <c r="O117" i="2" s="1"/>
  <c r="N118" i="2"/>
  <c r="O118" i="2"/>
  <c r="N119" i="2"/>
  <c r="O119" i="2" s="1"/>
  <c r="N120" i="2"/>
  <c r="O120" i="2"/>
  <c r="N121" i="2"/>
  <c r="O121" i="2" s="1"/>
  <c r="N122" i="2"/>
  <c r="O122" i="2" s="1"/>
  <c r="N123" i="2"/>
  <c r="O123" i="2" s="1"/>
  <c r="N124" i="2"/>
  <c r="O124" i="2" s="1"/>
  <c r="N125" i="2"/>
  <c r="O125" i="2" s="1"/>
  <c r="N126" i="2"/>
  <c r="O126" i="2" s="1"/>
  <c r="N127" i="2"/>
  <c r="O127" i="2"/>
  <c r="N128" i="2"/>
  <c r="O128" i="2" s="1"/>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c r="N143" i="2"/>
  <c r="O143" i="2" s="1"/>
  <c r="N144" i="2"/>
  <c r="O144" i="2" s="1"/>
  <c r="N145" i="2"/>
  <c r="O145" i="2" s="1"/>
  <c r="N146" i="2"/>
  <c r="O146" i="2" s="1"/>
  <c r="N147" i="2"/>
  <c r="O147" i="2" s="1"/>
  <c r="N148" i="2"/>
  <c r="O148" i="2" s="1"/>
  <c r="N149" i="2"/>
  <c r="O149" i="2" s="1"/>
  <c r="N150" i="2"/>
  <c r="O150" i="2" s="1"/>
  <c r="N151" i="2"/>
  <c r="O151" i="2" s="1"/>
  <c r="N152" i="2"/>
  <c r="O152" i="2" s="1"/>
  <c r="N153" i="2"/>
  <c r="O153" i="2"/>
  <c r="N154" i="2"/>
  <c r="O154" i="2" s="1"/>
  <c r="N155" i="2"/>
  <c r="O155" i="2" s="1"/>
  <c r="N156" i="2"/>
  <c r="O156" i="2" s="1"/>
  <c r="N157" i="2"/>
  <c r="O157" i="2" s="1"/>
  <c r="N158" i="2"/>
  <c r="O158" i="2" s="1"/>
  <c r="N159" i="2"/>
  <c r="O159" i="2" s="1"/>
  <c r="N160" i="2"/>
  <c r="O160" i="2"/>
  <c r="N161" i="2"/>
  <c r="O161" i="2"/>
  <c r="N162" i="2"/>
  <c r="O162" i="2" s="1"/>
  <c r="N163" i="2"/>
  <c r="O163" i="2" s="1"/>
  <c r="N164" i="2"/>
  <c r="O164" i="2"/>
  <c r="N165" i="2"/>
  <c r="O165" i="2" s="1"/>
  <c r="N166" i="2"/>
  <c r="O166" i="2"/>
  <c r="N167" i="2"/>
  <c r="O167" i="2"/>
  <c r="N168" i="2"/>
  <c r="O168" i="2" s="1"/>
  <c r="N169" i="2"/>
  <c r="O169" i="2" s="1"/>
  <c r="N170" i="2"/>
  <c r="O170" i="2"/>
  <c r="N171" i="2"/>
  <c r="O171" i="2" s="1"/>
  <c r="N172" i="2"/>
  <c r="O172" i="2"/>
  <c r="N173" i="2"/>
  <c r="O173" i="2" s="1"/>
  <c r="N174" i="2"/>
  <c r="O174" i="2" s="1"/>
  <c r="N175" i="2"/>
  <c r="O175" i="2" s="1"/>
  <c r="N176" i="2"/>
  <c r="O176" i="2" s="1"/>
  <c r="N177" i="2"/>
  <c r="O177" i="2" s="1"/>
  <c r="N178" i="2"/>
  <c r="O178" i="2"/>
  <c r="N179" i="2"/>
  <c r="O179" i="2"/>
  <c r="N180" i="2"/>
  <c r="O180" i="2"/>
  <c r="N181" i="2"/>
  <c r="O181" i="2" s="1"/>
  <c r="N182" i="2"/>
  <c r="O182" i="2" s="1"/>
  <c r="N183" i="2"/>
  <c r="O183" i="2" s="1"/>
  <c r="N184" i="2"/>
  <c r="O184" i="2" s="1"/>
  <c r="N185" i="2"/>
  <c r="O185" i="2" s="1"/>
  <c r="N186" i="2"/>
  <c r="O186" i="2" s="1"/>
  <c r="N187" i="2"/>
  <c r="O187" i="2" s="1"/>
  <c r="N188" i="2"/>
  <c r="O188" i="2"/>
  <c r="N189" i="2"/>
  <c r="O189" i="2"/>
  <c r="N190" i="2"/>
  <c r="O190" i="2"/>
  <c r="N191" i="2"/>
  <c r="O191" i="2" s="1"/>
  <c r="N192" i="2"/>
  <c r="O192" i="2" s="1"/>
  <c r="N193" i="2"/>
  <c r="O193" i="2" s="1"/>
  <c r="N194" i="2"/>
  <c r="O194" i="2" s="1"/>
  <c r="N195" i="2"/>
  <c r="O195" i="2"/>
  <c r="N196" i="2"/>
  <c r="O196" i="2"/>
  <c r="N197" i="2"/>
  <c r="O197" i="2" s="1"/>
  <c r="N198" i="2"/>
  <c r="O198" i="2"/>
  <c r="N199" i="2"/>
  <c r="O199" i="2" s="1"/>
  <c r="N200" i="2"/>
  <c r="O200" i="2" s="1"/>
  <c r="N201" i="2"/>
  <c r="O201" i="2" s="1"/>
  <c r="N202" i="2"/>
  <c r="O202" i="2"/>
  <c r="N203" i="2"/>
  <c r="O203" i="2" s="1"/>
  <c r="N204" i="2"/>
  <c r="O204" i="2" s="1"/>
  <c r="N205" i="2"/>
  <c r="O205" i="2" s="1"/>
  <c r="N206" i="2"/>
  <c r="O206" i="2"/>
  <c r="N207" i="2"/>
  <c r="O207" i="2" s="1"/>
  <c r="N208" i="2"/>
  <c r="O208" i="2" s="1"/>
  <c r="N209" i="2"/>
  <c r="O209" i="2" s="1"/>
  <c r="N210" i="2"/>
  <c r="O210" i="2" s="1"/>
  <c r="N211" i="2"/>
  <c r="O211" i="2" s="1"/>
  <c r="N212" i="2"/>
  <c r="O212" i="2" s="1"/>
  <c r="N213" i="2"/>
  <c r="O213" i="2" s="1"/>
  <c r="N214" i="2"/>
  <c r="O214" i="2" s="1"/>
  <c r="N215" i="2"/>
  <c r="O215" i="2"/>
  <c r="N216" i="2"/>
  <c r="O216" i="2" s="1"/>
  <c r="N217" i="2"/>
  <c r="O217" i="2" s="1"/>
  <c r="N218" i="2"/>
  <c r="O218" i="2" s="1"/>
  <c r="N219" i="2"/>
  <c r="O219" i="2" s="1"/>
  <c r="N220" i="2"/>
  <c r="O220" i="2" s="1"/>
  <c r="N221" i="2"/>
  <c r="O221" i="2"/>
  <c r="N222" i="2"/>
  <c r="O222" i="2" s="1"/>
  <c r="N223" i="2"/>
  <c r="O223" i="2" s="1"/>
  <c r="N224" i="2"/>
  <c r="O224" i="2"/>
  <c r="N225" i="2"/>
  <c r="O225" i="2" s="1"/>
  <c r="N226" i="2"/>
  <c r="O226" i="2"/>
  <c r="N227" i="2"/>
  <c r="O227" i="2" s="1"/>
  <c r="N228" i="2"/>
  <c r="O228" i="2" s="1"/>
  <c r="N229" i="2"/>
  <c r="O229" i="2" s="1"/>
  <c r="N230" i="2"/>
  <c r="O230" i="2" s="1"/>
  <c r="N231" i="2"/>
  <c r="O231" i="2" s="1"/>
  <c r="N232" i="2"/>
  <c r="O232" i="2" s="1"/>
  <c r="N233" i="2"/>
  <c r="O233" i="2" s="1"/>
  <c r="N234" i="2"/>
  <c r="O234" i="2"/>
  <c r="N235" i="2"/>
  <c r="O235" i="2" s="1"/>
  <c r="N236" i="2"/>
  <c r="O236" i="2" s="1"/>
  <c r="N237" i="2"/>
  <c r="O237" i="2"/>
  <c r="N238" i="2"/>
  <c r="O238" i="2" s="1"/>
  <c r="N239" i="2"/>
  <c r="O239" i="2" s="1"/>
  <c r="N240" i="2"/>
  <c r="O240" i="2" s="1"/>
  <c r="N241" i="2"/>
  <c r="O241" i="2" s="1"/>
  <c r="N242" i="2"/>
  <c r="O242" i="2" s="1"/>
  <c r="N243" i="2"/>
  <c r="O243" i="2" s="1"/>
  <c r="N244" i="2"/>
  <c r="O244" i="2"/>
  <c r="N245" i="2"/>
  <c r="O245" i="2" s="1"/>
  <c r="N246" i="2"/>
  <c r="O246" i="2" s="1"/>
  <c r="N247" i="2"/>
  <c r="O247" i="2"/>
  <c r="N248" i="2"/>
  <c r="O248" i="2" s="1"/>
  <c r="N249" i="2"/>
  <c r="O249" i="2" s="1"/>
  <c r="N250" i="2"/>
  <c r="O250" i="2"/>
  <c r="N251" i="2"/>
  <c r="O251" i="2" s="1"/>
  <c r="N252" i="2"/>
  <c r="O252" i="2" s="1"/>
  <c r="N253" i="2"/>
  <c r="O253" i="2"/>
  <c r="N254" i="2"/>
  <c r="O254" i="2"/>
  <c r="N255" i="2"/>
  <c r="O255" i="2" s="1"/>
  <c r="N256" i="2"/>
  <c r="O256" i="2" s="1"/>
  <c r="N257" i="2"/>
  <c r="O257" i="2" s="1"/>
  <c r="N258" i="2"/>
  <c r="O258" i="2" s="1"/>
  <c r="N259" i="2"/>
  <c r="O259" i="2" s="1"/>
  <c r="N260" i="2"/>
  <c r="O260" i="2"/>
  <c r="N261" i="2"/>
  <c r="O261" i="2"/>
  <c r="N262" i="2"/>
  <c r="O262" i="2" s="1"/>
  <c r="N263" i="2"/>
  <c r="O263" i="2"/>
  <c r="N264" i="2"/>
  <c r="O264" i="2" s="1"/>
  <c r="N265" i="2"/>
  <c r="O265" i="2" s="1"/>
  <c r="N266" i="2"/>
  <c r="O266" i="2" s="1"/>
  <c r="N267" i="2"/>
  <c r="O267" i="2"/>
  <c r="N268" i="2"/>
  <c r="O268" i="2" s="1"/>
  <c r="N269" i="2"/>
  <c r="O269" i="2" s="1"/>
  <c r="N270" i="2"/>
  <c r="O270" i="2"/>
  <c r="N271" i="2"/>
  <c r="O271" i="2"/>
  <c r="N272" i="2"/>
  <c r="O272" i="2" s="1"/>
  <c r="N273" i="2"/>
  <c r="O273" i="2" s="1"/>
  <c r="N274" i="2"/>
  <c r="O274" i="2" s="1"/>
  <c r="N275" i="2"/>
  <c r="O275" i="2"/>
  <c r="N276" i="2"/>
  <c r="O276" i="2" s="1"/>
  <c r="N277" i="2"/>
  <c r="O277" i="2" s="1"/>
  <c r="N278" i="2"/>
  <c r="O278" i="2" s="1"/>
  <c r="N279" i="2"/>
  <c r="O279" i="2" s="1"/>
  <c r="N280" i="2"/>
  <c r="O280" i="2" s="1"/>
  <c r="N281" i="2"/>
  <c r="O281" i="2"/>
  <c r="N282" i="2"/>
  <c r="O282" i="2" s="1"/>
  <c r="N283" i="2"/>
  <c r="O283" i="2" s="1"/>
  <c r="N284" i="2"/>
  <c r="O284" i="2" s="1"/>
  <c r="N285" i="2"/>
  <c r="O285" i="2" s="1"/>
  <c r="N286" i="2"/>
  <c r="O286" i="2" s="1"/>
  <c r="N287" i="2"/>
  <c r="O287" i="2" s="1"/>
  <c r="N288" i="2"/>
  <c r="O288" i="2" s="1"/>
  <c r="N289" i="2"/>
  <c r="O289" i="2" s="1"/>
  <c r="N290" i="2"/>
  <c r="O290" i="2" s="1"/>
  <c r="N291" i="2"/>
  <c r="O291" i="2" s="1"/>
  <c r="N292" i="2"/>
  <c r="O292" i="2" s="1"/>
  <c r="N293" i="2"/>
  <c r="O293" i="2" s="1"/>
  <c r="N294" i="2"/>
  <c r="O294" i="2"/>
  <c r="N295" i="2"/>
  <c r="O295" i="2" s="1"/>
  <c r="N296" i="2"/>
  <c r="O296" i="2" s="1"/>
  <c r="N297" i="2"/>
  <c r="O297" i="2" s="1"/>
  <c r="N298" i="2"/>
  <c r="O298" i="2" s="1"/>
  <c r="N299" i="2"/>
  <c r="O299" i="2" s="1"/>
  <c r="N300" i="2"/>
  <c r="O300" i="2" s="1"/>
  <c r="N301" i="2"/>
  <c r="O301" i="2"/>
  <c r="N302" i="2"/>
  <c r="O302" i="2" s="1"/>
  <c r="N303" i="2"/>
  <c r="O303" i="2" s="1"/>
  <c r="N304" i="2"/>
  <c r="O304" i="2"/>
  <c r="N305" i="2"/>
  <c r="O305" i="2"/>
  <c r="N306" i="2"/>
  <c r="O306" i="2"/>
  <c r="N307" i="2"/>
  <c r="O307" i="2" s="1"/>
  <c r="N308" i="2"/>
  <c r="O308" i="2" s="1"/>
  <c r="N309" i="2"/>
  <c r="O309" i="2"/>
  <c r="N310" i="2"/>
  <c r="O310" i="2"/>
  <c r="N311" i="2"/>
  <c r="O311" i="2"/>
  <c r="N312" i="2"/>
  <c r="O312" i="2"/>
  <c r="N313" i="2"/>
  <c r="O313" i="2"/>
  <c r="N314" i="2"/>
  <c r="O314" i="2"/>
  <c r="N315" i="2"/>
  <c r="O315" i="2"/>
  <c r="N316" i="2"/>
  <c r="O316" i="2" s="1"/>
  <c r="N317" i="2"/>
  <c r="O317" i="2"/>
  <c r="N318" i="2"/>
  <c r="O318" i="2" s="1"/>
  <c r="N319" i="2"/>
  <c r="O319" i="2"/>
  <c r="N320" i="2"/>
  <c r="O320" i="2" s="1"/>
  <c r="N321" i="2"/>
  <c r="O321" i="2" s="1"/>
  <c r="N322" i="2"/>
  <c r="O322" i="2" s="1"/>
  <c r="N323" i="2"/>
  <c r="O323" i="2" s="1"/>
  <c r="N324" i="2"/>
  <c r="O324" i="2" s="1"/>
  <c r="N325" i="2"/>
  <c r="O325" i="2"/>
  <c r="N326" i="2"/>
  <c r="O326" i="2" s="1"/>
  <c r="N327" i="2"/>
  <c r="O327" i="2" s="1"/>
  <c r="N328" i="2"/>
  <c r="O328" i="2" s="1"/>
  <c r="N329" i="2"/>
  <c r="O329" i="2"/>
  <c r="N330" i="2"/>
  <c r="O330" i="2" s="1"/>
  <c r="N331" i="2"/>
  <c r="O331" i="2"/>
  <c r="N332" i="2"/>
  <c r="O332" i="2"/>
  <c r="N333" i="2"/>
  <c r="O333" i="2"/>
  <c r="N334" i="2"/>
  <c r="O334" i="2" s="1"/>
  <c r="N335" i="2"/>
  <c r="O335" i="2"/>
  <c r="N336" i="2"/>
  <c r="O336" i="2" s="1"/>
  <c r="N337" i="2"/>
  <c r="O337" i="2" s="1"/>
  <c r="N338" i="2"/>
  <c r="O338" i="2" s="1"/>
  <c r="N339" i="2"/>
  <c r="O339" i="2" s="1"/>
  <c r="N340" i="2"/>
  <c r="O340" i="2" s="1"/>
  <c r="N341" i="2"/>
  <c r="O341" i="2" s="1"/>
  <c r="N342" i="2"/>
  <c r="O342" i="2" s="1"/>
  <c r="N343" i="2"/>
  <c r="O343" i="2" s="1"/>
  <c r="N344" i="2"/>
  <c r="O344" i="2" s="1"/>
  <c r="N345" i="2"/>
  <c r="O345" i="2"/>
  <c r="N346" i="2"/>
  <c r="O346" i="2"/>
  <c r="N347" i="2"/>
  <c r="O347" i="2"/>
  <c r="N348" i="2"/>
  <c r="O348" i="2" s="1"/>
  <c r="N349" i="2"/>
  <c r="O349" i="2"/>
  <c r="N350" i="2"/>
  <c r="O350" i="2" s="1"/>
  <c r="N351" i="2"/>
  <c r="O351" i="2" s="1"/>
  <c r="N352" i="2"/>
  <c r="O352" i="2" s="1"/>
  <c r="N353" i="2"/>
  <c r="O353" i="2" s="1"/>
  <c r="N354" i="2"/>
  <c r="O354" i="2" s="1"/>
  <c r="N355" i="2"/>
  <c r="O355" i="2" s="1"/>
  <c r="N356" i="2"/>
  <c r="O356" i="2"/>
  <c r="N357" i="2"/>
  <c r="O357" i="2" s="1"/>
  <c r="N358" i="2"/>
  <c r="O358" i="2"/>
  <c r="N359" i="2"/>
  <c r="O359" i="2" s="1"/>
  <c r="N360" i="2"/>
  <c r="O360" i="2" s="1"/>
  <c r="N361" i="2"/>
  <c r="O361" i="2"/>
  <c r="N362" i="2"/>
  <c r="O362" i="2" s="1"/>
  <c r="N363" i="2"/>
  <c r="O363" i="2"/>
  <c r="N364" i="2"/>
  <c r="O364" i="2" s="1"/>
  <c r="N365" i="2"/>
  <c r="O365" i="2" s="1"/>
  <c r="N366" i="2"/>
  <c r="O366" i="2" s="1"/>
  <c r="N367" i="2"/>
  <c r="O367" i="2" s="1"/>
  <c r="N368" i="2"/>
  <c r="O368" i="2"/>
  <c r="N369" i="2"/>
  <c r="O369" i="2" s="1"/>
  <c r="N370" i="2"/>
  <c r="O370" i="2"/>
  <c r="N371" i="2"/>
  <c r="O371" i="2" s="1"/>
  <c r="N372" i="2"/>
  <c r="O372" i="2" s="1"/>
  <c r="N373" i="2"/>
  <c r="O373" i="2"/>
  <c r="N374" i="2"/>
  <c r="O374" i="2" s="1"/>
  <c r="N375" i="2"/>
  <c r="O375" i="2" s="1"/>
  <c r="N376" i="2"/>
  <c r="O376" i="2"/>
  <c r="N377" i="2"/>
  <c r="O377" i="2" s="1"/>
  <c r="N378" i="2"/>
  <c r="O378" i="2" s="1"/>
  <c r="N379" i="2"/>
  <c r="O379" i="2"/>
  <c r="N380" i="2"/>
  <c r="O380" i="2" s="1"/>
  <c r="N381" i="2"/>
  <c r="O381" i="2" s="1"/>
  <c r="N382" i="2"/>
  <c r="O382" i="2" s="1"/>
  <c r="N383" i="2"/>
  <c r="O383" i="2" s="1"/>
  <c r="N384" i="2"/>
  <c r="O384" i="2" s="1"/>
  <c r="N385" i="2"/>
  <c r="O385" i="2" s="1"/>
  <c r="N386" i="2"/>
  <c r="O386" i="2" s="1"/>
  <c r="N387" i="2"/>
  <c r="O387" i="2" s="1"/>
  <c r="N388" i="2"/>
  <c r="O388" i="2" s="1"/>
  <c r="N389" i="2"/>
  <c r="O389" i="2" s="1"/>
  <c r="N390" i="2"/>
  <c r="O390" i="2"/>
  <c r="N391" i="2"/>
  <c r="O391" i="2" s="1"/>
  <c r="N392" i="2"/>
  <c r="O392" i="2" s="1"/>
  <c r="N393" i="2"/>
  <c r="O393" i="2" s="1"/>
  <c r="N394" i="2"/>
  <c r="O394" i="2" s="1"/>
  <c r="N395" i="2"/>
  <c r="O395" i="2" s="1"/>
  <c r="N396" i="2"/>
  <c r="O396" i="2"/>
  <c r="N397" i="2"/>
  <c r="O397" i="2"/>
  <c r="N398" i="2"/>
  <c r="O398" i="2" s="1"/>
  <c r="N399" i="2"/>
  <c r="O399" i="2" s="1"/>
  <c r="N400" i="2"/>
  <c r="O400" i="2"/>
  <c r="N401" i="2"/>
  <c r="O401" i="2"/>
  <c r="N402" i="2"/>
  <c r="O402" i="2" s="1"/>
  <c r="N403" i="2"/>
  <c r="O403" i="2"/>
  <c r="N404" i="2"/>
  <c r="O404" i="2" s="1"/>
  <c r="N405" i="2"/>
  <c r="O405" i="2" s="1"/>
  <c r="N406" i="2"/>
  <c r="O406" i="2" s="1"/>
  <c r="N407" i="2"/>
  <c r="O407" i="2" s="1"/>
  <c r="N408" i="2"/>
  <c r="O408" i="2" s="1"/>
  <c r="N409" i="2"/>
  <c r="O409" i="2" s="1"/>
  <c r="N410" i="2"/>
  <c r="O410" i="2" s="1"/>
  <c r="N411" i="2"/>
  <c r="O411" i="2"/>
  <c r="N412" i="2"/>
  <c r="O412" i="2" s="1"/>
  <c r="N413" i="2"/>
  <c r="O413" i="2" s="1"/>
  <c r="N414" i="2"/>
  <c r="O414" i="2"/>
  <c r="N415" i="2"/>
  <c r="O415" i="2"/>
  <c r="N416" i="2"/>
  <c r="O416" i="2"/>
  <c r="N417" i="2"/>
  <c r="O417" i="2"/>
  <c r="N418" i="2"/>
  <c r="O418" i="2" s="1"/>
  <c r="N419" i="2"/>
  <c r="O419" i="2" s="1"/>
  <c r="N420" i="2"/>
  <c r="O420" i="2" s="1"/>
  <c r="N421" i="2"/>
  <c r="O421" i="2"/>
  <c r="N422" i="2"/>
  <c r="O422" i="2" s="1"/>
  <c r="N423" i="2"/>
  <c r="O423" i="2" s="1"/>
  <c r="N424" i="2"/>
  <c r="O424" i="2"/>
  <c r="N425" i="2"/>
  <c r="O425" i="2" s="1"/>
  <c r="N426" i="2"/>
  <c r="O426" i="2" s="1"/>
  <c r="N427" i="2"/>
  <c r="O427" i="2"/>
  <c r="N428" i="2"/>
  <c r="O428" i="2" s="1"/>
  <c r="N429" i="2"/>
  <c r="O429" i="2"/>
  <c r="N430" i="2"/>
  <c r="O430" i="2" s="1"/>
  <c r="N431" i="2"/>
  <c r="O431" i="2" s="1"/>
  <c r="N432" i="2"/>
  <c r="O432" i="2" s="1"/>
  <c r="N433" i="2"/>
  <c r="O433" i="2" s="1"/>
  <c r="N434" i="2"/>
  <c r="O434" i="2" s="1"/>
  <c r="N435" i="2"/>
  <c r="O435" i="2" s="1"/>
  <c r="N436" i="2"/>
  <c r="O436" i="2" s="1"/>
  <c r="N437" i="2"/>
  <c r="O437" i="2" s="1"/>
  <c r="N438" i="2"/>
  <c r="O438" i="2" s="1"/>
  <c r="N439" i="2"/>
  <c r="O439" i="2"/>
  <c r="N440" i="2"/>
  <c r="O440" i="2" s="1"/>
  <c r="N441" i="2"/>
  <c r="O441" i="2" s="1"/>
  <c r="N442" i="2"/>
  <c r="O442" i="2"/>
  <c r="N443" i="2"/>
  <c r="O443" i="2" s="1"/>
  <c r="N444" i="2"/>
  <c r="O444" i="2" s="1"/>
  <c r="N445" i="2"/>
  <c r="O445" i="2"/>
  <c r="N446" i="2"/>
  <c r="O446" i="2" s="1"/>
  <c r="N447" i="2"/>
  <c r="O447" i="2" s="1"/>
  <c r="N448" i="2"/>
  <c r="O448" i="2"/>
  <c r="N449" i="2"/>
  <c r="O449" i="2" s="1"/>
  <c r="N450" i="2"/>
  <c r="O450" i="2" s="1"/>
  <c r="N451" i="2"/>
  <c r="O451" i="2" s="1"/>
  <c r="N452" i="2"/>
  <c r="O452" i="2" s="1"/>
  <c r="N453" i="2"/>
  <c r="O453" i="2" s="1"/>
  <c r="N454" i="2"/>
  <c r="O454" i="2"/>
  <c r="N455" i="2"/>
  <c r="O455" i="2" s="1"/>
  <c r="N456" i="2"/>
  <c r="O456" i="2" s="1"/>
  <c r="N457" i="2"/>
  <c r="O457" i="2"/>
  <c r="N458" i="2"/>
  <c r="O458" i="2"/>
  <c r="N459" i="2"/>
  <c r="O459" i="2"/>
  <c r="N460" i="2"/>
  <c r="O460" i="2" s="1"/>
  <c r="N461" i="2"/>
  <c r="O461" i="2" s="1"/>
  <c r="N462" i="2"/>
  <c r="O462" i="2" s="1"/>
  <c r="N463" i="2"/>
  <c r="O463" i="2" s="1"/>
  <c r="N464" i="2"/>
  <c r="O464" i="2" s="1"/>
  <c r="N465" i="2"/>
  <c r="O465" i="2" s="1"/>
  <c r="N466" i="2"/>
  <c r="O466" i="2"/>
  <c r="N467" i="2"/>
  <c r="O467" i="2"/>
  <c r="N468" i="2"/>
  <c r="O468" i="2" s="1"/>
  <c r="N469" i="2"/>
  <c r="O469" i="2" s="1"/>
  <c r="N470" i="2"/>
  <c r="O470" i="2" s="1"/>
  <c r="N471" i="2"/>
  <c r="O471" i="2" s="1"/>
  <c r="N472" i="2"/>
  <c r="O472" i="2" s="1"/>
  <c r="N473" i="2"/>
  <c r="O473" i="2" s="1"/>
  <c r="N474" i="2"/>
  <c r="O474" i="2"/>
  <c r="N475" i="2"/>
  <c r="O475" i="2"/>
  <c r="N476" i="2"/>
  <c r="O476" i="2"/>
  <c r="N477" i="2"/>
  <c r="O477" i="2" s="1"/>
  <c r="N478" i="2"/>
  <c r="O478" i="2"/>
  <c r="N479" i="2"/>
  <c r="O479" i="2" s="1"/>
  <c r="N480" i="2"/>
  <c r="O480" i="2"/>
  <c r="N481" i="2"/>
  <c r="O481" i="2"/>
  <c r="N482" i="2"/>
  <c r="O482" i="2"/>
  <c r="N483" i="2"/>
  <c r="O483" i="2"/>
  <c r="N484" i="2"/>
  <c r="O484" i="2" s="1"/>
  <c r="N485" i="2"/>
  <c r="O485" i="2"/>
  <c r="N486" i="2"/>
  <c r="O486" i="2" s="1"/>
  <c r="N487" i="2"/>
  <c r="O487" i="2" s="1"/>
  <c r="N488" i="2"/>
  <c r="O488" i="2" s="1"/>
  <c r="N489" i="2"/>
  <c r="O489" i="2" s="1"/>
  <c r="N490" i="2"/>
  <c r="O490" i="2" s="1"/>
  <c r="N491" i="2"/>
  <c r="O491" i="2"/>
  <c r="N492" i="2"/>
  <c r="O492" i="2" s="1"/>
  <c r="N493" i="2"/>
  <c r="O493" i="2"/>
  <c r="N494" i="2"/>
  <c r="O494" i="2" s="1"/>
  <c r="N495" i="2"/>
  <c r="O495" i="2" s="1"/>
  <c r="N496" i="2"/>
  <c r="O496" i="2" s="1"/>
  <c r="N497" i="2"/>
  <c r="O497" i="2" s="1"/>
  <c r="N498" i="2"/>
  <c r="O498" i="2" s="1"/>
  <c r="N499" i="2"/>
  <c r="O499" i="2" s="1"/>
  <c r="N500" i="2"/>
  <c r="O500" i="2"/>
  <c r="N501" i="2"/>
  <c r="O501" i="2"/>
  <c r="N502" i="2"/>
  <c r="O502" i="2" s="1"/>
  <c r="N503" i="2"/>
  <c r="O503" i="2" s="1"/>
  <c r="N504" i="2"/>
  <c r="O504" i="2" s="1"/>
  <c r="N505" i="2"/>
  <c r="O505" i="2"/>
  <c r="N506" i="2"/>
  <c r="O506" i="2" s="1"/>
  <c r="N507" i="2"/>
  <c r="O507" i="2" s="1"/>
  <c r="N508" i="2"/>
  <c r="O508" i="2"/>
  <c r="N509" i="2"/>
  <c r="O509" i="2" s="1"/>
  <c r="N510" i="2"/>
  <c r="O510" i="2" s="1"/>
  <c r="N511" i="2"/>
  <c r="O511" i="2" s="1"/>
  <c r="N512" i="2"/>
  <c r="O512" i="2" s="1"/>
  <c r="N513" i="2"/>
  <c r="O513" i="2" s="1"/>
  <c r="N514" i="2"/>
  <c r="O514" i="2"/>
  <c r="N515" i="2"/>
  <c r="O515" i="2"/>
  <c r="N516" i="2"/>
  <c r="O516" i="2"/>
  <c r="N517" i="2"/>
  <c r="O517" i="2"/>
  <c r="N518" i="2"/>
  <c r="O518" i="2"/>
  <c r="N519" i="2"/>
  <c r="O519" i="2" s="1"/>
  <c r="N520" i="2"/>
  <c r="O520" i="2" s="1"/>
  <c r="N521" i="2"/>
  <c r="O521" i="2"/>
  <c r="N522" i="2"/>
  <c r="O522" i="2" s="1"/>
  <c r="N523" i="2"/>
  <c r="O523" i="2" s="1"/>
  <c r="N524" i="2"/>
  <c r="O524" i="2" s="1"/>
  <c r="N525" i="2"/>
  <c r="O525" i="2" s="1"/>
  <c r="N526" i="2"/>
  <c r="O526" i="2" s="1"/>
  <c r="N527" i="2"/>
  <c r="O527" i="2" s="1"/>
  <c r="N528" i="2"/>
  <c r="O528" i="2"/>
  <c r="N529" i="2"/>
  <c r="O529" i="2"/>
  <c r="N530" i="2"/>
  <c r="O530" i="2" s="1"/>
  <c r="N531" i="2"/>
  <c r="O531" i="2" s="1"/>
  <c r="N532" i="2"/>
  <c r="O532" i="2"/>
  <c r="N533" i="2"/>
  <c r="O533" i="2" s="1"/>
  <c r="N534" i="2"/>
  <c r="O534" i="2" s="1"/>
  <c r="N535" i="2"/>
  <c r="O535" i="2" s="1"/>
  <c r="N536" i="2"/>
  <c r="O536" i="2" s="1"/>
  <c r="N537" i="2"/>
  <c r="O537" i="2" s="1"/>
  <c r="N538" i="2"/>
  <c r="O538" i="2" s="1"/>
  <c r="N539" i="2"/>
  <c r="O539" i="2" s="1"/>
  <c r="N540" i="2"/>
  <c r="O540" i="2" s="1"/>
  <c r="N541" i="2"/>
  <c r="O541" i="2" s="1"/>
  <c r="N542" i="2"/>
  <c r="O542" i="2" s="1"/>
  <c r="N543" i="2"/>
  <c r="O543" i="2" s="1"/>
  <c r="N544" i="2"/>
  <c r="O544" i="2" s="1"/>
  <c r="N545" i="2"/>
  <c r="O545" i="2" s="1"/>
  <c r="N546" i="2"/>
  <c r="O546" i="2" s="1"/>
  <c r="N547" i="2"/>
  <c r="O547" i="2"/>
  <c r="N548" i="2"/>
  <c r="O548" i="2" s="1"/>
  <c r="N549" i="2"/>
  <c r="O549" i="2" s="1"/>
  <c r="N550" i="2"/>
  <c r="O550" i="2" s="1"/>
  <c r="N551" i="2"/>
  <c r="O551" i="2" s="1"/>
  <c r="N552" i="2"/>
  <c r="O552" i="2" s="1"/>
  <c r="N553" i="2"/>
  <c r="O553" i="2" s="1"/>
  <c r="N554" i="2"/>
  <c r="O554" i="2" s="1"/>
  <c r="N555" i="2"/>
  <c r="O555" i="2"/>
  <c r="N556" i="2"/>
  <c r="O556" i="2"/>
  <c r="N557" i="2"/>
  <c r="O557" i="2" s="1"/>
  <c r="N558" i="2"/>
  <c r="O558" i="2" s="1"/>
  <c r="N559" i="2"/>
  <c r="O559" i="2" s="1"/>
  <c r="N560" i="2"/>
  <c r="O560" i="2" s="1"/>
  <c r="N561" i="2"/>
  <c r="O561" i="2" s="1"/>
  <c r="N562" i="2"/>
  <c r="O562" i="2" s="1"/>
  <c r="N563" i="2"/>
  <c r="O563" i="2" s="1"/>
  <c r="N564" i="2"/>
  <c r="O564" i="2"/>
  <c r="N565" i="2"/>
  <c r="O565" i="2" s="1"/>
  <c r="N566" i="2"/>
  <c r="O566" i="2" s="1"/>
  <c r="N567" i="2"/>
  <c r="O567" i="2"/>
  <c r="N568" i="2"/>
  <c r="O568" i="2" s="1"/>
  <c r="N569" i="2"/>
  <c r="O569" i="2" s="1"/>
  <c r="N570" i="2"/>
  <c r="O570" i="2" s="1"/>
  <c r="N571" i="2"/>
  <c r="O571" i="2"/>
  <c r="N572" i="2"/>
  <c r="O572" i="2" s="1"/>
  <c r="N573" i="2"/>
  <c r="O573" i="2" s="1"/>
  <c r="N574" i="2"/>
  <c r="O574" i="2" s="1"/>
  <c r="N575" i="2"/>
  <c r="O575" i="2" s="1"/>
  <c r="N576" i="2"/>
  <c r="O576" i="2" s="1"/>
  <c r="N577" i="2"/>
  <c r="O577" i="2" s="1"/>
  <c r="N578" i="2"/>
  <c r="O578" i="2" s="1"/>
  <c r="N579" i="2"/>
  <c r="O579" i="2"/>
  <c r="N580" i="2"/>
  <c r="O580" i="2" s="1"/>
  <c r="N581" i="2"/>
  <c r="O581" i="2" s="1"/>
  <c r="N582" i="2"/>
  <c r="O582" i="2"/>
  <c r="N583" i="2"/>
  <c r="O583" i="2" s="1"/>
  <c r="N584" i="2"/>
  <c r="O584" i="2" s="1"/>
  <c r="N585" i="2"/>
  <c r="O585" i="2" s="1"/>
  <c r="N586" i="2"/>
  <c r="O586" i="2" s="1"/>
  <c r="N587" i="2"/>
  <c r="O587" i="2" s="1"/>
  <c r="N588" i="2"/>
  <c r="O588" i="2" s="1"/>
  <c r="N589" i="2"/>
  <c r="O589" i="2" s="1"/>
  <c r="N590" i="2"/>
  <c r="O590" i="2" s="1"/>
  <c r="N591" i="2"/>
  <c r="O591" i="2"/>
  <c r="N592" i="2"/>
  <c r="O592" i="2" s="1"/>
  <c r="N593" i="2"/>
  <c r="O593" i="2" s="1"/>
  <c r="N594" i="2"/>
  <c r="O594" i="2" s="1"/>
  <c r="N595" i="2"/>
  <c r="O595" i="2" s="1"/>
  <c r="N596" i="2"/>
  <c r="O596" i="2" s="1"/>
  <c r="N597" i="2"/>
  <c r="O597" i="2" s="1"/>
  <c r="N598" i="2"/>
  <c r="O598" i="2" s="1"/>
  <c r="N599" i="2"/>
  <c r="O599" i="2" s="1"/>
  <c r="N600" i="2"/>
  <c r="O600" i="2" s="1"/>
  <c r="N601" i="2"/>
  <c r="O601" i="2" s="1"/>
  <c r="N602" i="2"/>
  <c r="O602" i="2" s="1"/>
  <c r="N603" i="2"/>
  <c r="O603" i="2" s="1"/>
  <c r="N604" i="2"/>
  <c r="O604" i="2" s="1"/>
  <c r="N605" i="2"/>
  <c r="O605" i="2" s="1"/>
  <c r="N606" i="2"/>
  <c r="O606" i="2"/>
  <c r="N607" i="2"/>
  <c r="O607" i="2" s="1"/>
  <c r="N608" i="2"/>
  <c r="O608" i="2" s="1"/>
  <c r="N609" i="2"/>
  <c r="O609" i="2"/>
  <c r="N610" i="2"/>
  <c r="O610" i="2" s="1"/>
  <c r="N611" i="2"/>
  <c r="O611" i="2" s="1"/>
  <c r="N612" i="2"/>
  <c r="O612" i="2" s="1"/>
  <c r="N613" i="2"/>
  <c r="O613" i="2" s="1"/>
  <c r="N614" i="2"/>
  <c r="O614" i="2" s="1"/>
  <c r="N615" i="2"/>
  <c r="O615" i="2" s="1"/>
  <c r="N616" i="2"/>
  <c r="O616" i="2"/>
  <c r="N617" i="2"/>
  <c r="O617" i="2" s="1"/>
  <c r="N618" i="2"/>
  <c r="O618" i="2" s="1"/>
  <c r="N619" i="2"/>
  <c r="O619" i="2" s="1"/>
  <c r="N620" i="2"/>
  <c r="O620" i="2" s="1"/>
  <c r="N621" i="2"/>
  <c r="O621" i="2"/>
  <c r="N622" i="2"/>
  <c r="O622" i="2" s="1"/>
  <c r="N623" i="2"/>
  <c r="O623" i="2" s="1"/>
  <c r="N624" i="2"/>
  <c r="O624" i="2" s="1"/>
  <c r="N625" i="2"/>
  <c r="O625" i="2"/>
  <c r="N626" i="2"/>
  <c r="O626" i="2" s="1"/>
  <c r="N627" i="2"/>
  <c r="O627" i="2" s="1"/>
  <c r="N628" i="2"/>
  <c r="O628" i="2" s="1"/>
  <c r="N629" i="2"/>
  <c r="O629" i="2" s="1"/>
  <c r="N630" i="2"/>
  <c r="O630" i="2" s="1"/>
  <c r="N631" i="2"/>
  <c r="O631" i="2" s="1"/>
  <c r="N632" i="2"/>
  <c r="O632" i="2" s="1"/>
  <c r="N633" i="2"/>
  <c r="O633" i="2" s="1"/>
  <c r="N634" i="2"/>
  <c r="O634" i="2" s="1"/>
  <c r="N635" i="2"/>
  <c r="O635" i="2"/>
  <c r="N636" i="2"/>
  <c r="O636" i="2" s="1"/>
  <c r="N637" i="2"/>
  <c r="O637" i="2" s="1"/>
  <c r="N638" i="2"/>
  <c r="O638" i="2" s="1"/>
  <c r="N639" i="2"/>
  <c r="O639" i="2" s="1"/>
  <c r="N640" i="2"/>
  <c r="O640" i="2"/>
  <c r="N641" i="2"/>
  <c r="O641" i="2" s="1"/>
  <c r="N642" i="2"/>
  <c r="O642" i="2" s="1"/>
  <c r="N643" i="2"/>
  <c r="O643" i="2" s="1"/>
  <c r="N644" i="2"/>
  <c r="O644" i="2" s="1"/>
  <c r="N645" i="2"/>
  <c r="O645" i="2" s="1"/>
  <c r="N646" i="2"/>
  <c r="O646" i="2" s="1"/>
  <c r="N647" i="2"/>
  <c r="O647" i="2" s="1"/>
  <c r="N648" i="2"/>
  <c r="O648" i="2" s="1"/>
  <c r="N649" i="2"/>
  <c r="O649" i="2" s="1"/>
  <c r="N650" i="2"/>
  <c r="O650" i="2" s="1"/>
  <c r="N651" i="2"/>
  <c r="O651" i="2" s="1"/>
  <c r="N652" i="2"/>
  <c r="O652" i="2" s="1"/>
  <c r="N653" i="2"/>
  <c r="O653" i="2" s="1"/>
  <c r="N654" i="2"/>
  <c r="O654" i="2" s="1"/>
  <c r="N655" i="2"/>
  <c r="O655" i="2" s="1"/>
  <c r="N656" i="2"/>
  <c r="O656" i="2" s="1"/>
  <c r="N657" i="2"/>
  <c r="O657" i="2"/>
  <c r="N658" i="2"/>
  <c r="O658" i="2" s="1"/>
  <c r="N659" i="2"/>
  <c r="O659" i="2" s="1"/>
  <c r="N660" i="2"/>
  <c r="O660" i="2" s="1"/>
  <c r="N661" i="2"/>
  <c r="O661" i="2" s="1"/>
  <c r="N662" i="2"/>
  <c r="O662" i="2" s="1"/>
  <c r="N663" i="2"/>
  <c r="O663" i="2" s="1"/>
  <c r="N664" i="2"/>
  <c r="O664" i="2"/>
  <c r="N665" i="2"/>
  <c r="O665" i="2" s="1"/>
  <c r="N666" i="2"/>
  <c r="O666" i="2" s="1"/>
  <c r="N667" i="2"/>
  <c r="O667" i="2" s="1"/>
  <c r="N668" i="2"/>
  <c r="O668" i="2"/>
  <c r="N669" i="2"/>
  <c r="O669" i="2" s="1"/>
  <c r="N670" i="2"/>
  <c r="O670" i="2" s="1"/>
  <c r="N671" i="2"/>
  <c r="O671" i="2" s="1"/>
  <c r="N672" i="2"/>
  <c r="O672" i="2" s="1"/>
  <c r="N673" i="2"/>
  <c r="O673" i="2" s="1"/>
  <c r="N674" i="2"/>
  <c r="O674" i="2" s="1"/>
  <c r="N675" i="2"/>
  <c r="O675" i="2" s="1"/>
  <c r="N676" i="2"/>
  <c r="O676" i="2" s="1"/>
  <c r="N677" i="2"/>
  <c r="O677" i="2" s="1"/>
  <c r="N678" i="2"/>
  <c r="O678" i="2" s="1"/>
  <c r="N679" i="2"/>
  <c r="O679" i="2"/>
  <c r="N680" i="2"/>
  <c r="O680" i="2"/>
  <c r="N681" i="2"/>
  <c r="O681" i="2" s="1"/>
  <c r="N682" i="2"/>
  <c r="O682" i="2"/>
  <c r="N683" i="2"/>
  <c r="O683" i="2" s="1"/>
  <c r="N684" i="2"/>
  <c r="O684" i="2" s="1"/>
  <c r="N685" i="2"/>
  <c r="O685" i="2" s="1"/>
  <c r="N686" i="2"/>
  <c r="O686" i="2" s="1"/>
  <c r="N687" i="2"/>
  <c r="O687" i="2"/>
  <c r="N688" i="2"/>
  <c r="O688" i="2" s="1"/>
  <c r="N689" i="2"/>
  <c r="O689" i="2" s="1"/>
  <c r="N690" i="2"/>
  <c r="O690" i="2" s="1"/>
  <c r="N691" i="2"/>
  <c r="O691" i="2" s="1"/>
  <c r="N692" i="2"/>
  <c r="O692" i="2"/>
  <c r="N693" i="2"/>
  <c r="O693" i="2"/>
  <c r="N694" i="2"/>
  <c r="O694" i="2" s="1"/>
  <c r="N695" i="2"/>
  <c r="O695" i="2" s="1"/>
  <c r="N696" i="2"/>
  <c r="O696" i="2" s="1"/>
  <c r="N697" i="2"/>
  <c r="O697" i="2" s="1"/>
  <c r="N698" i="2"/>
  <c r="O698" i="2"/>
  <c r="N699" i="2"/>
  <c r="O699" i="2" s="1"/>
  <c r="N700" i="2"/>
  <c r="O700" i="2" s="1"/>
  <c r="N701" i="2"/>
  <c r="O701" i="2" s="1"/>
  <c r="N702" i="2"/>
  <c r="O702" i="2" s="1"/>
  <c r="N703" i="2"/>
  <c r="O703" i="2" s="1"/>
  <c r="N704" i="2"/>
  <c r="O704" i="2" s="1"/>
  <c r="N705" i="2"/>
  <c r="O705" i="2" s="1"/>
  <c r="N706" i="2"/>
  <c r="O706" i="2" s="1"/>
  <c r="N707" i="2"/>
  <c r="O707" i="2" s="1"/>
  <c r="N708" i="2"/>
  <c r="O708" i="2" s="1"/>
  <c r="N709" i="2"/>
  <c r="O709" i="2" s="1"/>
  <c r="N710" i="2"/>
  <c r="O710" i="2" s="1"/>
  <c r="N711" i="2"/>
  <c r="O711" i="2" s="1"/>
  <c r="N712" i="2"/>
  <c r="O712" i="2" s="1"/>
  <c r="N713" i="2"/>
  <c r="O713" i="2"/>
  <c r="N714" i="2"/>
  <c r="O714" i="2" s="1"/>
  <c r="N715" i="2"/>
  <c r="O715" i="2" s="1"/>
  <c r="N716" i="2"/>
  <c r="O716" i="2"/>
  <c r="N717" i="2"/>
  <c r="O717" i="2" s="1"/>
  <c r="N718" i="2"/>
  <c r="O718" i="2" s="1"/>
  <c r="N719" i="2"/>
  <c r="O719" i="2"/>
  <c r="N720" i="2"/>
  <c r="O720" i="2" s="1"/>
  <c r="N721" i="2"/>
  <c r="O721" i="2" s="1"/>
  <c r="N722" i="2"/>
  <c r="O722" i="2" s="1"/>
  <c r="N723" i="2"/>
  <c r="O723" i="2" s="1"/>
  <c r="N724" i="2"/>
  <c r="O724" i="2" s="1"/>
  <c r="N725" i="2"/>
  <c r="O725" i="2"/>
  <c r="N726" i="2"/>
  <c r="O726" i="2" s="1"/>
  <c r="N727" i="2"/>
  <c r="O727" i="2" s="1"/>
  <c r="N728" i="2"/>
  <c r="O728" i="2" s="1"/>
  <c r="N729" i="2"/>
  <c r="O729" i="2" s="1"/>
  <c r="N730" i="2"/>
  <c r="O730" i="2" s="1"/>
  <c r="N731" i="2"/>
  <c r="O731" i="2" s="1"/>
  <c r="N732" i="2"/>
  <c r="O732" i="2"/>
  <c r="N733" i="2"/>
  <c r="O733" i="2" s="1"/>
  <c r="N734" i="2"/>
  <c r="O734" i="2" s="1"/>
  <c r="N735" i="2"/>
  <c r="O735" i="2" s="1"/>
  <c r="N736" i="2"/>
  <c r="O736" i="2" s="1"/>
  <c r="N737" i="2"/>
  <c r="O737" i="2" s="1"/>
  <c r="N738" i="2"/>
  <c r="O738" i="2" s="1"/>
  <c r="N739" i="2"/>
  <c r="O739" i="2" s="1"/>
  <c r="N740" i="2"/>
  <c r="O740" i="2" s="1"/>
  <c r="N741" i="2"/>
  <c r="O741" i="2" s="1"/>
  <c r="N742" i="2"/>
  <c r="O742" i="2"/>
  <c r="N743" i="2"/>
  <c r="O743" i="2" s="1"/>
  <c r="N744" i="2"/>
  <c r="O744" i="2" s="1"/>
  <c r="N745" i="2"/>
  <c r="O745" i="2" s="1"/>
  <c r="N746" i="2"/>
  <c r="O746" i="2" s="1"/>
  <c r="N747" i="2"/>
  <c r="O747" i="2" s="1"/>
  <c r="N748" i="2"/>
  <c r="O748" i="2" s="1"/>
  <c r="N749" i="2"/>
  <c r="O749" i="2" s="1"/>
  <c r="N750" i="2"/>
  <c r="O750" i="2" s="1"/>
  <c r="N751" i="2"/>
  <c r="O751" i="2" s="1"/>
  <c r="N752" i="2"/>
  <c r="O752" i="2"/>
  <c r="N753" i="2"/>
  <c r="O753" i="2" s="1"/>
  <c r="N754" i="2"/>
  <c r="O754" i="2"/>
  <c r="N755" i="2"/>
  <c r="O755" i="2" s="1"/>
  <c r="N756" i="2"/>
  <c r="O756" i="2" s="1"/>
  <c r="N757" i="2"/>
  <c r="O757" i="2" s="1"/>
  <c r="N758" i="2"/>
  <c r="O758" i="2" s="1"/>
  <c r="N759" i="2"/>
  <c r="O759" i="2" s="1"/>
  <c r="N760" i="2"/>
  <c r="O760" i="2" s="1"/>
  <c r="N761" i="2"/>
  <c r="O761" i="2" s="1"/>
  <c r="N762" i="2"/>
  <c r="O762" i="2" s="1"/>
  <c r="N763" i="2"/>
  <c r="O763" i="2" s="1"/>
  <c r="N764" i="2"/>
  <c r="O764" i="2" s="1"/>
  <c r="N765" i="2"/>
  <c r="O765" i="2" s="1"/>
  <c r="N766" i="2"/>
  <c r="O766" i="2" s="1"/>
  <c r="N767" i="2"/>
  <c r="O767" i="2"/>
  <c r="N768" i="2"/>
  <c r="O768" i="2" s="1"/>
  <c r="N769" i="2"/>
  <c r="O769" i="2" s="1"/>
  <c r="N770" i="2"/>
  <c r="O770" i="2" s="1"/>
  <c r="N771" i="2"/>
  <c r="O771" i="2" s="1"/>
  <c r="N772" i="2"/>
  <c r="O772" i="2" s="1"/>
  <c r="N773" i="2"/>
  <c r="O773" i="2" s="1"/>
  <c r="N774" i="2"/>
  <c r="O774" i="2" s="1"/>
  <c r="N775" i="2"/>
  <c r="O775" i="2" s="1"/>
  <c r="N776" i="2"/>
  <c r="O776" i="2" s="1"/>
  <c r="N777" i="2"/>
  <c r="O777" i="2" s="1"/>
  <c r="N778" i="2"/>
  <c r="O778" i="2" s="1"/>
  <c r="N779" i="2"/>
  <c r="O779" i="2" s="1"/>
  <c r="N780" i="2"/>
  <c r="O780" i="2" s="1"/>
  <c r="N781" i="2"/>
  <c r="O781" i="2" s="1"/>
  <c r="N782" i="2"/>
  <c r="O782" i="2" s="1"/>
  <c r="N783" i="2"/>
  <c r="O783" i="2" s="1"/>
  <c r="N784" i="2"/>
  <c r="O784" i="2" s="1"/>
  <c r="N785" i="2"/>
  <c r="O785" i="2" s="1"/>
  <c r="N786" i="2"/>
  <c r="O786" i="2" s="1"/>
  <c r="N787" i="2"/>
  <c r="O787" i="2" s="1"/>
  <c r="N788" i="2"/>
  <c r="O788" i="2" s="1"/>
  <c r="N789" i="2"/>
  <c r="O789" i="2" s="1"/>
  <c r="N790" i="2"/>
  <c r="O790" i="2" s="1"/>
  <c r="N791" i="2"/>
  <c r="O791" i="2"/>
  <c r="N792" i="2"/>
  <c r="O792" i="2" s="1"/>
  <c r="N793" i="2"/>
  <c r="O793" i="2" s="1"/>
  <c r="N794" i="2"/>
  <c r="O794" i="2" s="1"/>
  <c r="N795" i="2"/>
  <c r="O795" i="2" s="1"/>
  <c r="N796" i="2"/>
  <c r="O796" i="2" s="1"/>
  <c r="N797" i="2"/>
  <c r="O797" i="2" s="1"/>
  <c r="N798" i="2"/>
  <c r="O798" i="2" s="1"/>
  <c r="N799" i="2"/>
  <c r="O799" i="2" s="1"/>
  <c r="N800" i="2"/>
  <c r="O800" i="2" s="1"/>
  <c r="N801" i="2"/>
  <c r="O801" i="2" s="1"/>
  <c r="N802" i="2"/>
  <c r="O802" i="2" s="1"/>
  <c r="N803" i="2"/>
  <c r="O803" i="2" s="1"/>
  <c r="N804" i="2"/>
  <c r="O804" i="2" s="1"/>
  <c r="N805" i="2"/>
  <c r="O805" i="2" s="1"/>
  <c r="N806" i="2"/>
  <c r="O806" i="2" s="1"/>
  <c r="N807" i="2"/>
  <c r="O807" i="2" s="1"/>
  <c r="N808" i="2"/>
  <c r="O808" i="2" s="1"/>
  <c r="N809" i="2"/>
  <c r="O809" i="2" s="1"/>
  <c r="N810" i="2"/>
  <c r="O810" i="2" s="1"/>
  <c r="N811" i="2"/>
  <c r="O811" i="2" s="1"/>
  <c r="N812" i="2"/>
  <c r="O812" i="2" s="1"/>
  <c r="N813" i="2"/>
  <c r="O813" i="2" s="1"/>
  <c r="N814" i="2"/>
  <c r="O814" i="2" s="1"/>
  <c r="N815" i="2"/>
  <c r="O815" i="2"/>
  <c r="N816" i="2"/>
  <c r="O816" i="2" s="1"/>
  <c r="N817" i="2"/>
  <c r="O817" i="2" s="1"/>
  <c r="N818" i="2"/>
  <c r="O818" i="2" s="1"/>
  <c r="N819" i="2"/>
  <c r="O819" i="2" s="1"/>
  <c r="N820" i="2"/>
  <c r="O820" i="2" s="1"/>
  <c r="N821" i="2"/>
  <c r="O821" i="2" s="1"/>
  <c r="N822" i="2"/>
  <c r="O822" i="2" s="1"/>
  <c r="N823" i="2"/>
  <c r="O823" i="2" s="1"/>
  <c r="N824" i="2"/>
  <c r="O824" i="2" s="1"/>
  <c r="N825" i="2"/>
  <c r="O825" i="2" s="1"/>
  <c r="N826" i="2"/>
  <c r="O826" i="2" s="1"/>
  <c r="N827" i="2"/>
  <c r="O827" i="2" s="1"/>
  <c r="N828" i="2"/>
  <c r="O828" i="2" s="1"/>
  <c r="N829" i="2"/>
  <c r="O829" i="2" s="1"/>
  <c r="N830" i="2"/>
  <c r="O830" i="2" s="1"/>
  <c r="N831" i="2"/>
  <c r="O831" i="2" s="1"/>
  <c r="N832" i="2"/>
  <c r="O832" i="2" s="1"/>
  <c r="N833" i="2"/>
  <c r="O833" i="2" s="1"/>
  <c r="N834" i="2"/>
  <c r="O834" i="2" s="1"/>
  <c r="N835" i="2"/>
  <c r="O835" i="2" s="1"/>
  <c r="N836" i="2"/>
  <c r="O836" i="2" s="1"/>
  <c r="N837" i="2"/>
  <c r="O837" i="2" s="1"/>
  <c r="N838" i="2"/>
  <c r="O838" i="2" s="1"/>
  <c r="N839" i="2"/>
  <c r="O839" i="2" s="1"/>
  <c r="N840" i="2"/>
  <c r="O840" i="2"/>
  <c r="N841" i="2"/>
  <c r="O841" i="2"/>
  <c r="N842" i="2"/>
  <c r="O842" i="2"/>
  <c r="N843" i="2"/>
  <c r="O843" i="2" s="1"/>
  <c r="N844" i="2"/>
  <c r="O844" i="2" s="1"/>
  <c r="N845" i="2"/>
  <c r="O845" i="2" s="1"/>
  <c r="N846" i="2"/>
  <c r="O846" i="2"/>
  <c r="N847" i="2"/>
  <c r="O847" i="2" s="1"/>
  <c r="N848" i="2"/>
  <c r="O848" i="2" s="1"/>
  <c r="N849" i="2"/>
  <c r="O849" i="2" s="1"/>
  <c r="N850" i="2"/>
  <c r="O850" i="2" s="1"/>
  <c r="N851" i="2"/>
  <c r="O851" i="2" s="1"/>
  <c r="N852" i="2"/>
  <c r="O852" i="2" s="1"/>
  <c r="N853" i="2"/>
  <c r="O853" i="2" s="1"/>
  <c r="N854" i="2"/>
  <c r="O854" i="2"/>
  <c r="N855" i="2"/>
  <c r="O855" i="2" s="1"/>
  <c r="N856" i="2"/>
  <c r="O856" i="2" s="1"/>
  <c r="N857" i="2"/>
  <c r="O857" i="2" s="1"/>
  <c r="N858" i="2"/>
  <c r="O858" i="2" s="1"/>
  <c r="N859" i="2"/>
  <c r="O859" i="2" s="1"/>
  <c r="N860" i="2"/>
  <c r="O860" i="2" s="1"/>
  <c r="N861" i="2"/>
  <c r="O861" i="2" s="1"/>
  <c r="N862" i="2"/>
  <c r="O862" i="2" s="1"/>
  <c r="N863" i="2"/>
  <c r="O863" i="2" s="1"/>
  <c r="N864" i="2"/>
  <c r="O864" i="2" s="1"/>
  <c r="N865" i="2"/>
  <c r="O865" i="2" s="1"/>
  <c r="N866" i="2"/>
  <c r="O866" i="2" s="1"/>
  <c r="N867" i="2"/>
  <c r="O867" i="2" s="1"/>
  <c r="N868" i="2"/>
  <c r="O868" i="2" s="1"/>
  <c r="N869" i="2"/>
  <c r="O869" i="2" s="1"/>
  <c r="N870" i="2"/>
  <c r="O870" i="2" s="1"/>
  <c r="N871" i="2"/>
  <c r="O871" i="2" s="1"/>
  <c r="N872" i="2"/>
  <c r="O872" i="2" s="1"/>
  <c r="N873" i="2"/>
  <c r="O873" i="2" s="1"/>
  <c r="N874" i="2"/>
  <c r="O874" i="2" s="1"/>
  <c r="N875" i="2"/>
  <c r="O875" i="2" s="1"/>
  <c r="N876" i="2"/>
  <c r="O876" i="2" s="1"/>
  <c r="N877" i="2"/>
  <c r="O877" i="2" s="1"/>
  <c r="N878" i="2"/>
  <c r="O878" i="2" s="1"/>
  <c r="N879" i="2"/>
  <c r="O879" i="2" s="1"/>
  <c r="N880" i="2"/>
  <c r="O880" i="2" s="1"/>
  <c r="N881" i="2"/>
  <c r="O881" i="2" s="1"/>
  <c r="N882" i="2"/>
  <c r="O882" i="2" s="1"/>
  <c r="N883" i="2"/>
  <c r="O883" i="2" s="1"/>
  <c r="N884" i="2"/>
  <c r="O884" i="2" s="1"/>
  <c r="N885" i="2"/>
  <c r="O885" i="2" s="1"/>
  <c r="N886" i="2"/>
  <c r="O886" i="2" s="1"/>
  <c r="N887" i="2"/>
  <c r="O887" i="2" s="1"/>
  <c r="N888" i="2"/>
  <c r="O888" i="2" s="1"/>
  <c r="N889" i="2"/>
  <c r="O889" i="2" s="1"/>
  <c r="N890" i="2"/>
  <c r="O890" i="2" s="1"/>
  <c r="N891" i="2"/>
  <c r="O891" i="2" s="1"/>
  <c r="N892" i="2"/>
  <c r="O892" i="2" s="1"/>
  <c r="N893" i="2"/>
  <c r="O893" i="2"/>
  <c r="N894" i="2"/>
  <c r="O894" i="2"/>
  <c r="N895" i="2"/>
  <c r="O895" i="2" s="1"/>
  <c r="N896" i="2"/>
  <c r="O896" i="2" s="1"/>
  <c r="N897" i="2"/>
  <c r="O897" i="2" s="1"/>
  <c r="N898" i="2"/>
  <c r="O898" i="2" s="1"/>
  <c r="N899" i="2"/>
  <c r="O899" i="2" s="1"/>
  <c r="N900" i="2"/>
  <c r="O900" i="2" s="1"/>
  <c r="N901" i="2"/>
  <c r="O901" i="2" s="1"/>
  <c r="N902" i="2"/>
  <c r="O902" i="2" s="1"/>
  <c r="N903" i="2"/>
  <c r="O903" i="2" s="1"/>
  <c r="N904" i="2"/>
  <c r="O904" i="2" s="1"/>
  <c r="N905" i="2"/>
  <c r="O905" i="2" s="1"/>
  <c r="N906" i="2"/>
  <c r="O906" i="2" s="1"/>
  <c r="N907" i="2"/>
  <c r="O907" i="2" s="1"/>
  <c r="N908" i="2"/>
  <c r="O908" i="2"/>
  <c r="N909" i="2"/>
  <c r="O909" i="2" s="1"/>
  <c r="N910" i="2"/>
  <c r="O910" i="2"/>
  <c r="N911" i="2"/>
  <c r="O911" i="2" s="1"/>
  <c r="N912" i="2"/>
  <c r="O912" i="2" s="1"/>
  <c r="N913" i="2"/>
  <c r="O913" i="2" s="1"/>
  <c r="N914" i="2"/>
  <c r="O914" i="2" s="1"/>
  <c r="N915" i="2"/>
  <c r="O915" i="2" s="1"/>
  <c r="N916" i="2"/>
  <c r="O916" i="2" s="1"/>
  <c r="N917" i="2"/>
  <c r="O917" i="2" s="1"/>
  <c r="N918" i="2"/>
  <c r="O918" i="2" s="1"/>
  <c r="N919" i="2"/>
  <c r="O919" i="2" s="1"/>
  <c r="N920" i="2"/>
  <c r="O920" i="2" s="1"/>
  <c r="N921" i="2"/>
  <c r="O921" i="2" s="1"/>
  <c r="N922" i="2"/>
  <c r="O922" i="2" s="1"/>
  <c r="N923" i="2"/>
  <c r="O923" i="2" s="1"/>
  <c r="N924" i="2"/>
  <c r="O924" i="2" s="1"/>
  <c r="N925" i="2"/>
  <c r="O925" i="2" s="1"/>
  <c r="N926" i="2"/>
  <c r="O926" i="2"/>
  <c r="N927" i="2"/>
  <c r="O927" i="2" s="1"/>
  <c r="N928" i="2"/>
  <c r="O928" i="2" s="1"/>
  <c r="N929" i="2"/>
  <c r="O929" i="2" s="1"/>
  <c r="N930" i="2"/>
  <c r="O930" i="2" s="1"/>
  <c r="N931" i="2"/>
  <c r="O931" i="2" s="1"/>
  <c r="N932" i="2"/>
  <c r="O932" i="2" s="1"/>
  <c r="N933" i="2"/>
  <c r="O933" i="2" s="1"/>
  <c r="N934" i="2"/>
  <c r="O934" i="2" s="1"/>
  <c r="N935" i="2"/>
  <c r="O935" i="2" s="1"/>
  <c r="N936" i="2"/>
  <c r="O936" i="2" s="1"/>
  <c r="N937" i="2"/>
  <c r="O937" i="2" s="1"/>
  <c r="N938" i="2"/>
  <c r="O938" i="2"/>
  <c r="N939" i="2"/>
  <c r="O939" i="2" s="1"/>
  <c r="N940" i="2"/>
  <c r="O940" i="2" s="1"/>
  <c r="N941" i="2"/>
  <c r="O941" i="2" s="1"/>
  <c r="N942" i="2"/>
  <c r="O942" i="2" s="1"/>
  <c r="N943" i="2"/>
  <c r="O943" i="2" s="1"/>
  <c r="N944" i="2"/>
  <c r="O944" i="2" s="1"/>
  <c r="N945" i="2"/>
  <c r="O945" i="2" s="1"/>
  <c r="N946" i="2"/>
  <c r="O946" i="2" s="1"/>
  <c r="N947" i="2"/>
  <c r="O947" i="2" s="1"/>
  <c r="N948" i="2"/>
  <c r="O948" i="2" s="1"/>
  <c r="N949" i="2"/>
  <c r="O949" i="2"/>
  <c r="N950" i="2"/>
  <c r="O950" i="2" s="1"/>
  <c r="N951" i="2"/>
  <c r="O951" i="2" s="1"/>
  <c r="N952" i="2"/>
  <c r="O952" i="2"/>
  <c r="N953" i="2"/>
  <c r="O953" i="2" s="1"/>
  <c r="N954" i="2"/>
  <c r="O954" i="2" s="1"/>
  <c r="N955" i="2"/>
  <c r="O955" i="2" s="1"/>
  <c r="N956" i="2"/>
  <c r="O956" i="2" s="1"/>
  <c r="N957" i="2"/>
  <c r="O957" i="2"/>
  <c r="N958" i="2"/>
  <c r="O958" i="2" s="1"/>
  <c r="N959" i="2"/>
  <c r="O959" i="2" s="1"/>
  <c r="N960" i="2"/>
  <c r="O960" i="2" s="1"/>
  <c r="N961" i="2"/>
  <c r="O961" i="2" s="1"/>
  <c r="N962" i="2"/>
  <c r="O962" i="2" s="1"/>
  <c r="N963" i="2"/>
  <c r="O963" i="2" s="1"/>
  <c r="N964" i="2"/>
  <c r="O964" i="2" s="1"/>
  <c r="N965" i="2"/>
  <c r="O965" i="2" s="1"/>
  <c r="N966" i="2"/>
  <c r="O966" i="2" s="1"/>
  <c r="N967" i="2"/>
  <c r="O967" i="2" s="1"/>
  <c r="N968" i="2"/>
  <c r="O968" i="2" s="1"/>
  <c r="N969" i="2"/>
  <c r="O969" i="2"/>
  <c r="N970" i="2"/>
  <c r="O970" i="2" s="1"/>
  <c r="N971" i="2"/>
  <c r="O971" i="2" s="1"/>
  <c r="N972" i="2"/>
  <c r="O972" i="2" s="1"/>
  <c r="N973" i="2"/>
  <c r="O973" i="2"/>
  <c r="N974" i="2"/>
  <c r="O974" i="2" s="1"/>
  <c r="N975" i="2"/>
  <c r="O975" i="2" s="1"/>
  <c r="N976" i="2"/>
  <c r="O976" i="2" s="1"/>
  <c r="N977" i="2"/>
  <c r="O977" i="2"/>
  <c r="N978" i="2"/>
  <c r="O978" i="2" s="1"/>
  <c r="N979" i="2"/>
  <c r="O979" i="2" s="1"/>
  <c r="N980" i="2"/>
  <c r="O980" i="2"/>
  <c r="N981" i="2"/>
  <c r="O981" i="2" s="1"/>
  <c r="N982" i="2"/>
  <c r="O982" i="2" s="1"/>
  <c r="N983" i="2"/>
  <c r="O983" i="2" s="1"/>
  <c r="N984" i="2"/>
  <c r="O984" i="2"/>
  <c r="N985" i="2"/>
  <c r="O985" i="2" s="1"/>
  <c r="N986" i="2"/>
  <c r="O986" i="2" s="1"/>
  <c r="N987" i="2"/>
  <c r="O987" i="2" s="1"/>
  <c r="N988" i="2"/>
  <c r="O988" i="2" s="1"/>
  <c r="N989" i="2"/>
  <c r="O989" i="2" s="1"/>
  <c r="N990" i="2"/>
  <c r="O990" i="2" s="1"/>
  <c r="N991" i="2"/>
  <c r="O991" i="2" s="1"/>
  <c r="N992" i="2"/>
  <c r="O992" i="2" s="1"/>
  <c r="N993" i="2"/>
  <c r="O993" i="2" s="1"/>
  <c r="N994" i="2"/>
  <c r="O994" i="2"/>
  <c r="N995" i="2"/>
  <c r="O995" i="2" s="1"/>
  <c r="N996" i="2"/>
  <c r="O996" i="2" s="1"/>
  <c r="N997" i="2"/>
  <c r="O997" i="2"/>
  <c r="N998" i="2"/>
  <c r="O998" i="2"/>
  <c r="N999" i="2"/>
  <c r="O999" i="2" s="1"/>
  <c r="N1000" i="2"/>
  <c r="O1000" i="2" s="1"/>
  <c r="N1001" i="2"/>
  <c r="O1001" i="2" s="1"/>
  <c r="N1002" i="2"/>
  <c r="O1002" i="2"/>
  <c r="N1003" i="2"/>
  <c r="O1003" i="2" s="1"/>
  <c r="N1004" i="2"/>
  <c r="O1004" i="2"/>
  <c r="N1005" i="2"/>
  <c r="O1005" i="2" s="1"/>
  <c r="N1006" i="2"/>
  <c r="O1006" i="2" s="1"/>
  <c r="N1007" i="2"/>
  <c r="O1007" i="2"/>
  <c r="N1008" i="2"/>
  <c r="O1008" i="2" s="1"/>
  <c r="N1009" i="2"/>
  <c r="O1009" i="2" s="1"/>
  <c r="N1010" i="2"/>
  <c r="O1010" i="2" s="1"/>
  <c r="N1011" i="2"/>
  <c r="O1011" i="2" s="1"/>
  <c r="N1012" i="2"/>
  <c r="O1012" i="2" s="1"/>
  <c r="N1013" i="2"/>
  <c r="O1013" i="2" s="1"/>
  <c r="N1014" i="2"/>
  <c r="O1014" i="2" s="1"/>
  <c r="N1015" i="2"/>
  <c r="O1015" i="2" s="1"/>
  <c r="N1016" i="2"/>
  <c r="O1016" i="2" s="1"/>
  <c r="N1017" i="2"/>
  <c r="O1017" i="2" s="1"/>
  <c r="N1018" i="2"/>
  <c r="O1018" i="2" s="1"/>
  <c r="N1019" i="2"/>
  <c r="O1019" i="2" s="1"/>
  <c r="N1020" i="2"/>
  <c r="O1020" i="2" s="1"/>
  <c r="N1021" i="2"/>
  <c r="O1021" i="2" s="1"/>
  <c r="N1022" i="2"/>
  <c r="O1022" i="2" s="1"/>
  <c r="N1023" i="2"/>
  <c r="O1023" i="2" s="1"/>
  <c r="N1024" i="2"/>
  <c r="O1024" i="2" s="1"/>
  <c r="N1025" i="2"/>
  <c r="O1025" i="2" s="1"/>
  <c r="N1026" i="2"/>
  <c r="O1026" i="2" s="1"/>
  <c r="N1027" i="2"/>
  <c r="O1027" i="2" s="1"/>
  <c r="N1028" i="2"/>
  <c r="O1028" i="2" s="1"/>
  <c r="N1029" i="2"/>
  <c r="O1029" i="2" s="1"/>
  <c r="N1030" i="2"/>
  <c r="O1030" i="2" s="1"/>
  <c r="N1031" i="2"/>
  <c r="O1031" i="2" s="1"/>
  <c r="N1032" i="2"/>
  <c r="O1032" i="2" s="1"/>
  <c r="N1033" i="2"/>
  <c r="O1033" i="2" s="1"/>
  <c r="N1034" i="2"/>
  <c r="O1034" i="2" s="1"/>
  <c r="N1035" i="2"/>
  <c r="O1035" i="2" s="1"/>
  <c r="N1036" i="2"/>
  <c r="O1036" i="2" s="1"/>
  <c r="N1037" i="2"/>
  <c r="O1037" i="2" s="1"/>
  <c r="N1038" i="2"/>
  <c r="O1038" i="2" s="1"/>
  <c r="N1039" i="2"/>
  <c r="O1039" i="2" s="1"/>
  <c r="N1040" i="2"/>
  <c r="O1040" i="2" s="1"/>
  <c r="N1041" i="2"/>
  <c r="O1041" i="2" s="1"/>
  <c r="N1042" i="2"/>
  <c r="O1042" i="2" s="1"/>
  <c r="N1043" i="2"/>
  <c r="O1043" i="2" s="1"/>
  <c r="N1044" i="2"/>
  <c r="O1044" i="2" s="1"/>
  <c r="N1045" i="2"/>
  <c r="O1045" i="2" s="1"/>
  <c r="N1046" i="2"/>
  <c r="O1046" i="2" s="1"/>
  <c r="N1047" i="2"/>
  <c r="O1047" i="2" s="1"/>
  <c r="N1048" i="2"/>
  <c r="O1048" i="2"/>
  <c r="N1049" i="2"/>
  <c r="O1049" i="2" s="1"/>
  <c r="N1050" i="2"/>
  <c r="O1050" i="2" s="1"/>
  <c r="N1051" i="2"/>
  <c r="O1051" i="2" s="1"/>
  <c r="N1052" i="2"/>
  <c r="O1052" i="2" s="1"/>
  <c r="N1053" i="2"/>
  <c r="O1053" i="2" s="1"/>
  <c r="N1054" i="2"/>
  <c r="O1054" i="2"/>
  <c r="N1055" i="2"/>
  <c r="O1055" i="2" s="1"/>
  <c r="N1056" i="2"/>
  <c r="O1056" i="2"/>
  <c r="N1057" i="2"/>
  <c r="O1057" i="2" s="1"/>
  <c r="N1058" i="2"/>
  <c r="O1058" i="2" s="1"/>
  <c r="N1059" i="2"/>
  <c r="O1059" i="2" s="1"/>
  <c r="N1060" i="2"/>
  <c r="O1060" i="2" s="1"/>
  <c r="N1061" i="2"/>
  <c r="O1061" i="2" s="1"/>
  <c r="N1062" i="2"/>
  <c r="O1062" i="2" s="1"/>
  <c r="N1063" i="2"/>
  <c r="O1063" i="2" s="1"/>
  <c r="N1064" i="2"/>
  <c r="O1064" i="2" s="1"/>
  <c r="N1065" i="2"/>
  <c r="O1065" i="2" s="1"/>
  <c r="N1066" i="2"/>
  <c r="O1066" i="2" s="1"/>
  <c r="N1067" i="2"/>
  <c r="O1067" i="2" s="1"/>
  <c r="N1068" i="2"/>
  <c r="O1068" i="2"/>
  <c r="N1069" i="2"/>
  <c r="O1069" i="2" s="1"/>
  <c r="N1070" i="2"/>
  <c r="O1070" i="2" s="1"/>
  <c r="N1071" i="2"/>
  <c r="O1071" i="2" s="1"/>
  <c r="N1072" i="2"/>
  <c r="O1072" i="2"/>
  <c r="N1073" i="2"/>
  <c r="O1073" i="2" s="1"/>
  <c r="N1074" i="2"/>
  <c r="O1074" i="2" s="1"/>
  <c r="N1075" i="2"/>
  <c r="O1075" i="2" s="1"/>
  <c r="N1076" i="2"/>
  <c r="O1076" i="2" s="1"/>
  <c r="N1077" i="2"/>
  <c r="O1077" i="2" s="1"/>
  <c r="N1078" i="2"/>
  <c r="O1078" i="2"/>
  <c r="N1079" i="2"/>
  <c r="O1079" i="2" s="1"/>
  <c r="N1080" i="2"/>
  <c r="O1080" i="2" s="1"/>
  <c r="N1081" i="2"/>
  <c r="O1081" i="2" s="1"/>
  <c r="N1082" i="2"/>
  <c r="O1082" i="2" s="1"/>
  <c r="N1083" i="2"/>
  <c r="O1083" i="2" s="1"/>
  <c r="N1084" i="2"/>
  <c r="O1084" i="2" s="1"/>
  <c r="N1085" i="2"/>
  <c r="O1085" i="2" s="1"/>
  <c r="N1086" i="2"/>
  <c r="O1086" i="2" s="1"/>
  <c r="N1087" i="2"/>
  <c r="O1087" i="2" s="1"/>
  <c r="N1088" i="2"/>
  <c r="O1088" i="2"/>
  <c r="N1089" i="2"/>
  <c r="O1089" i="2" s="1"/>
  <c r="N1090" i="2"/>
  <c r="O1090" i="2" s="1"/>
  <c r="N1091" i="2"/>
  <c r="O1091" i="2" s="1"/>
  <c r="N1092" i="2"/>
  <c r="O1092" i="2" s="1"/>
  <c r="N1093" i="2"/>
  <c r="O1093" i="2" s="1"/>
  <c r="N1094" i="2"/>
  <c r="O1094" i="2" s="1"/>
  <c r="N1095" i="2"/>
  <c r="O1095" i="2" s="1"/>
  <c r="N1096" i="2"/>
  <c r="O1096" i="2" s="1"/>
  <c r="N1097" i="2"/>
  <c r="O1097" i="2" s="1"/>
  <c r="N1098" i="2"/>
  <c r="O1098" i="2" s="1"/>
  <c r="N1099" i="2"/>
  <c r="O1099" i="2"/>
  <c r="N1100" i="2"/>
  <c r="O1100" i="2" s="1"/>
  <c r="N1101" i="2"/>
  <c r="O1101" i="2" s="1"/>
  <c r="N1102" i="2"/>
  <c r="O1102" i="2" s="1"/>
  <c r="N1103" i="2"/>
  <c r="O1103" i="2" s="1"/>
  <c r="N1104" i="2"/>
  <c r="O1104" i="2"/>
  <c r="N1105" i="2"/>
  <c r="O1105" i="2" s="1"/>
  <c r="N1106" i="2"/>
  <c r="O1106" i="2" s="1"/>
  <c r="N1107" i="2"/>
  <c r="O1107" i="2"/>
  <c r="N1108" i="2"/>
  <c r="O1108" i="2" s="1"/>
  <c r="N1109" i="2"/>
  <c r="O1109" i="2" s="1"/>
  <c r="N1110" i="2"/>
  <c r="O1110" i="2" s="1"/>
  <c r="N1111" i="2"/>
  <c r="O1111" i="2" s="1"/>
  <c r="N1112" i="2"/>
  <c r="O1112" i="2" s="1"/>
  <c r="N1113" i="2"/>
  <c r="O1113" i="2"/>
  <c r="N1114" i="2"/>
  <c r="O1114" i="2" s="1"/>
  <c r="N1115" i="2"/>
  <c r="O1115" i="2"/>
  <c r="N1116" i="2"/>
  <c r="O1116" i="2"/>
  <c r="N1117" i="2"/>
  <c r="O1117" i="2" s="1"/>
  <c r="N1118" i="2"/>
  <c r="O1118" i="2" s="1"/>
  <c r="N1119" i="2"/>
  <c r="O1119" i="2" s="1"/>
  <c r="N1120" i="2"/>
  <c r="O1120" i="2" s="1"/>
  <c r="N1121" i="2"/>
  <c r="O1121" i="2" s="1"/>
  <c r="N1122" i="2"/>
  <c r="O1122" i="2" s="1"/>
  <c r="N1123" i="2"/>
  <c r="O1123" i="2" s="1"/>
  <c r="N1124" i="2"/>
  <c r="O1124" i="2" s="1"/>
  <c r="N1125" i="2"/>
  <c r="O1125" i="2" s="1"/>
  <c r="N1126" i="2"/>
  <c r="O1126" i="2" s="1"/>
  <c r="N1127" i="2"/>
  <c r="O1127" i="2" s="1"/>
  <c r="N1128" i="2"/>
  <c r="O1128" i="2" s="1"/>
  <c r="N1129" i="2"/>
  <c r="O1129" i="2" s="1"/>
  <c r="N1130" i="2"/>
  <c r="O1130" i="2" s="1"/>
  <c r="N1131" i="2"/>
  <c r="O1131" i="2" s="1"/>
  <c r="N1132" i="2"/>
  <c r="O1132" i="2" s="1"/>
  <c r="N1133" i="2"/>
  <c r="O1133" i="2" s="1"/>
  <c r="N1134" i="2"/>
  <c r="O1134" i="2" s="1"/>
  <c r="N1135" i="2"/>
  <c r="O1135" i="2" s="1"/>
  <c r="N1136" i="2"/>
  <c r="O1136" i="2" s="1"/>
  <c r="N1137" i="2"/>
  <c r="O1137" i="2" s="1"/>
  <c r="N1138" i="2"/>
  <c r="O1138" i="2"/>
  <c r="N1139" i="2"/>
  <c r="O1139" i="2" s="1"/>
  <c r="N1140" i="2"/>
  <c r="O1140" i="2"/>
  <c r="N1141" i="2"/>
  <c r="O1141" i="2" s="1"/>
  <c r="N1142" i="2"/>
  <c r="O1142" i="2" s="1"/>
  <c r="N1143" i="2"/>
  <c r="O1143" i="2" s="1"/>
  <c r="N1144" i="2"/>
  <c r="O1144" i="2" s="1"/>
  <c r="N1145" i="2"/>
  <c r="O1145" i="2" s="1"/>
  <c r="N1146" i="2"/>
  <c r="O1146" i="2"/>
  <c r="N1147" i="2"/>
  <c r="O1147" i="2" s="1"/>
  <c r="N1148" i="2"/>
  <c r="O1148" i="2" s="1"/>
  <c r="N1149" i="2"/>
  <c r="O1149" i="2" s="1"/>
  <c r="N1150" i="2"/>
  <c r="O1150" i="2" s="1"/>
  <c r="N1151" i="2"/>
  <c r="O1151" i="2" s="1"/>
  <c r="N1152" i="2"/>
  <c r="O1152" i="2" s="1"/>
  <c r="N1153" i="2"/>
  <c r="O1153" i="2" s="1"/>
  <c r="N1154" i="2"/>
  <c r="O1154" i="2" s="1"/>
  <c r="N1155" i="2"/>
  <c r="O1155" i="2" s="1"/>
  <c r="N1156" i="2"/>
  <c r="O1156" i="2" s="1"/>
  <c r="N1157" i="2"/>
  <c r="O1157" i="2"/>
  <c r="N1158" i="2"/>
  <c r="O1158" i="2" s="1"/>
  <c r="N1159" i="2"/>
  <c r="O1159" i="2" s="1"/>
  <c r="N1160" i="2"/>
  <c r="O1160" i="2"/>
  <c r="N1161" i="2"/>
  <c r="O1161" i="2" s="1"/>
  <c r="N1162" i="2"/>
  <c r="O1162" i="2" s="1"/>
  <c r="N1163" i="2"/>
  <c r="O1163" i="2"/>
  <c r="N1164" i="2"/>
  <c r="O1164" i="2" s="1"/>
  <c r="N1165" i="2"/>
  <c r="O1165" i="2" s="1"/>
  <c r="N1166" i="2"/>
  <c r="O1166" i="2" s="1"/>
  <c r="N1167" i="2"/>
  <c r="O1167" i="2" s="1"/>
  <c r="N1168" i="2"/>
  <c r="O1168" i="2" s="1"/>
  <c r="N1169" i="2"/>
  <c r="O1169" i="2" s="1"/>
  <c r="N1170" i="2"/>
  <c r="O1170" i="2" s="1"/>
  <c r="N1171" i="2"/>
  <c r="O1171" i="2" s="1"/>
  <c r="N1172" i="2"/>
  <c r="O1172" i="2" s="1"/>
  <c r="N1173" i="2"/>
  <c r="O1173" i="2"/>
  <c r="N1174" i="2"/>
  <c r="O1174" i="2" s="1"/>
  <c r="N1175" i="2"/>
  <c r="O1175" i="2" s="1"/>
  <c r="N1176" i="2"/>
  <c r="O1176" i="2" s="1"/>
  <c r="N1177" i="2"/>
  <c r="O1177" i="2" s="1"/>
  <c r="N1178" i="2"/>
  <c r="O1178" i="2" s="1"/>
  <c r="N1179" i="2"/>
  <c r="O1179" i="2" s="1"/>
  <c r="N1180" i="2"/>
  <c r="O1180" i="2" s="1"/>
  <c r="N1181" i="2"/>
  <c r="O1181" i="2" s="1"/>
  <c r="N1182" i="2"/>
  <c r="O1182" i="2" s="1"/>
  <c r="N1183" i="2"/>
  <c r="O1183" i="2" s="1"/>
  <c r="N1184" i="2"/>
  <c r="O1184" i="2" s="1"/>
  <c r="N1185" i="2"/>
  <c r="O1185" i="2" s="1"/>
  <c r="N1186" i="2"/>
  <c r="O1186" i="2" s="1"/>
  <c r="N1187" i="2"/>
  <c r="O1187" i="2" s="1"/>
  <c r="N1188" i="2"/>
  <c r="O1188" i="2" s="1"/>
  <c r="N1189" i="2"/>
  <c r="O1189" i="2" s="1"/>
  <c r="N1190" i="2"/>
  <c r="O1190" i="2" s="1"/>
  <c r="N1191" i="2"/>
  <c r="O1191" i="2" s="1"/>
  <c r="N1192" i="2"/>
  <c r="O1192" i="2"/>
  <c r="N1193" i="2"/>
  <c r="O1193" i="2" s="1"/>
  <c r="N1194" i="2"/>
  <c r="O1194" i="2"/>
  <c r="N1195" i="2"/>
  <c r="O1195" i="2" s="1"/>
  <c r="N1196" i="2"/>
  <c r="O1196" i="2" s="1"/>
  <c r="N1197" i="2"/>
  <c r="O1197" i="2" s="1"/>
  <c r="N1198" i="2"/>
  <c r="O1198" i="2" s="1"/>
  <c r="N1199" i="2"/>
  <c r="O1199" i="2" s="1"/>
  <c r="N1200" i="2"/>
  <c r="O1200" i="2" s="1"/>
  <c r="N1201" i="2"/>
  <c r="O1201" i="2" s="1"/>
  <c r="Q25" i="2" l="1"/>
</calcChain>
</file>

<file path=xl/sharedStrings.xml><?xml version="1.0" encoding="utf-8"?>
<sst xmlns="http://schemas.openxmlformats.org/spreadsheetml/2006/main" count="8490" uniqueCount="3648">
  <si>
    <t>OrderID</t>
  </si>
  <si>
    <t>Date</t>
  </si>
  <si>
    <t>CustomerID</t>
  </si>
  <si>
    <t>Product</t>
  </si>
  <si>
    <t>Quantity</t>
  </si>
  <si>
    <t>UnitPrice</t>
  </si>
  <si>
    <t>PaymentMethod</t>
  </si>
  <si>
    <t>TrackingNumber</t>
  </si>
  <si>
    <t>ItemsInCart</t>
  </si>
  <si>
    <t>ReferralSource</t>
  </si>
  <si>
    <t>ORD200000</t>
  </si>
  <si>
    <t>C72649</t>
  </si>
  <si>
    <t>Monitor</t>
  </si>
  <si>
    <t>Debit Card</t>
  </si>
  <si>
    <t>Shipped</t>
  </si>
  <si>
    <t>TRK37947903</t>
  </si>
  <si>
    <t>Instagram</t>
  </si>
  <si>
    <t>ORD200001</t>
  </si>
  <si>
    <t>C75739</t>
  </si>
  <si>
    <t>Phone</t>
  </si>
  <si>
    <t>Online</t>
  </si>
  <si>
    <t>TRK91186779</t>
  </si>
  <si>
    <t>Referral</t>
  </si>
  <si>
    <t>ORD200002</t>
  </si>
  <si>
    <t>C81728</t>
  </si>
  <si>
    <t>Tablet</t>
  </si>
  <si>
    <t>Credit Card</t>
  </si>
  <si>
    <t>TRK42903982</t>
  </si>
  <si>
    <t>Email</t>
  </si>
  <si>
    <t>ORD200003</t>
  </si>
  <si>
    <t>C33540</t>
  </si>
  <si>
    <t>TV</t>
  </si>
  <si>
    <t>TRK62788070</t>
  </si>
  <si>
    <t>Facebook</t>
  </si>
  <si>
    <t>ORD200004</t>
  </si>
  <si>
    <t>C81840</t>
  </si>
  <si>
    <t>Printer</t>
  </si>
  <si>
    <t>Delivered</t>
  </si>
  <si>
    <t>TRK29241424</t>
  </si>
  <si>
    <t>ORD200005</t>
  </si>
  <si>
    <t>C37249</t>
  </si>
  <si>
    <t>TRK72976927</t>
  </si>
  <si>
    <t>ORD200006</t>
  </si>
  <si>
    <t>C83492</t>
  </si>
  <si>
    <t>Laptop</t>
  </si>
  <si>
    <t>Gift Card</t>
  </si>
  <si>
    <t>TRK96417362</t>
  </si>
  <si>
    <t>Total Sales</t>
  </si>
  <si>
    <t>ORD200007</t>
  </si>
  <si>
    <t>C41460</t>
  </si>
  <si>
    <t>Cash</t>
  </si>
  <si>
    <t>TRK78809193</t>
  </si>
  <si>
    <t>ORD200008</t>
  </si>
  <si>
    <t>C26817</t>
  </si>
  <si>
    <t>TRK61042692</t>
  </si>
  <si>
    <t>product wise total sales</t>
  </si>
  <si>
    <t>ORD200009</t>
  </si>
  <si>
    <t>C31946</t>
  </si>
  <si>
    <t>Refrigerator</t>
  </si>
  <si>
    <t>TRK33478363</t>
  </si>
  <si>
    <t>Google</t>
  </si>
  <si>
    <t xml:space="preserve">product wise quantity sold </t>
  </si>
  <si>
    <t>ORD200010</t>
  </si>
  <si>
    <t>C43443</t>
  </si>
  <si>
    <t>TRK98859248</t>
  </si>
  <si>
    <t>Total Quantity Sold</t>
  </si>
  <si>
    <t>referralwise total sales</t>
  </si>
  <si>
    <t>ORD200011</t>
  </si>
  <si>
    <t>C93861</t>
  </si>
  <si>
    <t>TRK48234646</t>
  </si>
  <si>
    <t>ordur status</t>
  </si>
  <si>
    <t>ORD200012</t>
  </si>
  <si>
    <t>C38785</t>
  </si>
  <si>
    <t>Pending</t>
  </si>
  <si>
    <t>TRK20419991</t>
  </si>
  <si>
    <t>product wise total unit price</t>
  </si>
  <si>
    <t>ORD200013</t>
  </si>
  <si>
    <t>C88348</t>
  </si>
  <si>
    <t>TRK81913874</t>
  </si>
  <si>
    <t>ORD200014</t>
  </si>
  <si>
    <t>C98474</t>
  </si>
  <si>
    <t>TRK79186539</t>
  </si>
  <si>
    <t>AOV (Avg order value)</t>
  </si>
  <si>
    <t>ORD200015</t>
  </si>
  <si>
    <t>C39416</t>
  </si>
  <si>
    <t>TRK54930938</t>
  </si>
  <si>
    <t>ORD200016</t>
  </si>
  <si>
    <t>C28976</t>
  </si>
  <si>
    <t>TRK13194259</t>
  </si>
  <si>
    <t>ORD200017</t>
  </si>
  <si>
    <t>C60672</t>
  </si>
  <si>
    <t>TRK11972116</t>
  </si>
  <si>
    <t>ORD200018</t>
  </si>
  <si>
    <t>C84329</t>
  </si>
  <si>
    <t>TRK65191045</t>
  </si>
  <si>
    <t xml:space="preserve">Total Items In Cart </t>
  </si>
  <si>
    <t>ORD200019</t>
  </si>
  <si>
    <t>C14552</t>
  </si>
  <si>
    <t>TRK59101365</t>
  </si>
  <si>
    <t>ORD200020</t>
  </si>
  <si>
    <t>C54829</t>
  </si>
  <si>
    <t>TRK16718651</t>
  </si>
  <si>
    <t>ORD200021</t>
  </si>
  <si>
    <t>C99023</t>
  </si>
  <si>
    <t>TRK52646983</t>
  </si>
  <si>
    <t>ORD200022</t>
  </si>
  <si>
    <t>C34416</t>
  </si>
  <si>
    <t>TRK75937350</t>
  </si>
  <si>
    <t>ORD200023</t>
  </si>
  <si>
    <t>C42372</t>
  </si>
  <si>
    <t>TRK36168083</t>
  </si>
  <si>
    <t>ORD200024</t>
  </si>
  <si>
    <t>C17470</t>
  </si>
  <si>
    <t>TRK28775057</t>
  </si>
  <si>
    <t>ORD200025</t>
  </si>
  <si>
    <t>C42577</t>
  </si>
  <si>
    <t>TRK69423327</t>
  </si>
  <si>
    <t>ORD200026</t>
  </si>
  <si>
    <t>C21944</t>
  </si>
  <si>
    <t>TRK80276812</t>
  </si>
  <si>
    <t>ORD200027</t>
  </si>
  <si>
    <t>C97593</t>
  </si>
  <si>
    <t>TRK89117573</t>
  </si>
  <si>
    <t>ORD200028</t>
  </si>
  <si>
    <t>C59823</t>
  </si>
  <si>
    <t>TRK65895539</t>
  </si>
  <si>
    <t>ORD200029</t>
  </si>
  <si>
    <t>C33260</t>
  </si>
  <si>
    <t>TRK59744090</t>
  </si>
  <si>
    <t>ORD200030</t>
  </si>
  <si>
    <t>C44267</t>
  </si>
  <si>
    <t>TRK54751444</t>
  </si>
  <si>
    <t>ORD200031</t>
  </si>
  <si>
    <t>C26445</t>
  </si>
  <si>
    <t>TRK31229981</t>
  </si>
  <si>
    <t>ORD200032</t>
  </si>
  <si>
    <t>C12388</t>
  </si>
  <si>
    <t>TRK99261395</t>
  </si>
  <si>
    <t>ORD200033</t>
  </si>
  <si>
    <t>C52184</t>
  </si>
  <si>
    <t>TRK73312471</t>
  </si>
  <si>
    <t>ORD200034</t>
  </si>
  <si>
    <t>C67195</t>
  </si>
  <si>
    <t>TRK55467915</t>
  </si>
  <si>
    <t>ORD200035</t>
  </si>
  <si>
    <t>C50304</t>
  </si>
  <si>
    <t>TRK46850888</t>
  </si>
  <si>
    <t>ORD200036</t>
  </si>
  <si>
    <t>C59337</t>
  </si>
  <si>
    <t>TRK50961250</t>
  </si>
  <si>
    <t>ORD200037</t>
  </si>
  <si>
    <t>C10054</t>
  </si>
  <si>
    <t>TRK94005261</t>
  </si>
  <si>
    <t>ORD200038</t>
  </si>
  <si>
    <t>C15924</t>
  </si>
  <si>
    <t>TRK14835975</t>
  </si>
  <si>
    <t>ORD200039</t>
  </si>
  <si>
    <t>C96664</t>
  </si>
  <si>
    <t>TRK85508960</t>
  </si>
  <si>
    <t>ORD200040</t>
  </si>
  <si>
    <t>C84766</t>
  </si>
  <si>
    <t>TRK78967923</t>
  </si>
  <si>
    <t>ORD200041</t>
  </si>
  <si>
    <t>C20212</t>
  </si>
  <si>
    <t>TRK69733327</t>
  </si>
  <si>
    <t>ORD200042</t>
  </si>
  <si>
    <t>C28712</t>
  </si>
  <si>
    <t>TRK40772558</t>
  </si>
  <si>
    <t>ORD200043</t>
  </si>
  <si>
    <t>C60572</t>
  </si>
  <si>
    <t>TRK20351666</t>
  </si>
  <si>
    <t>ORD200044</t>
  </si>
  <si>
    <t>C73225</t>
  </si>
  <si>
    <t>TRK73848522</t>
  </si>
  <si>
    <t>ORD200045</t>
  </si>
  <si>
    <t>C17388</t>
  </si>
  <si>
    <t>TRK47077395</t>
  </si>
  <si>
    <t>ORD200046</t>
  </si>
  <si>
    <t>C43212</t>
  </si>
  <si>
    <t>TRK25100762</t>
  </si>
  <si>
    <t>ORD200047</t>
  </si>
  <si>
    <t>C38134</t>
  </si>
  <si>
    <t>TRK42450754</t>
  </si>
  <si>
    <t>ORD200048</t>
  </si>
  <si>
    <t>C12408</t>
  </si>
  <si>
    <t>TRK38938858</t>
  </si>
  <si>
    <t>ORD200049</t>
  </si>
  <si>
    <t>C11985</t>
  </si>
  <si>
    <t>TRK53272402</t>
  </si>
  <si>
    <t>ORD200050</t>
  </si>
  <si>
    <t>C96494</t>
  </si>
  <si>
    <t>TRK14675049</t>
  </si>
  <si>
    <t>ORD200051</t>
  </si>
  <si>
    <t>C36778</t>
  </si>
  <si>
    <t>TRK67610289</t>
  </si>
  <si>
    <t>ORD200052</t>
  </si>
  <si>
    <t>C30513</t>
  </si>
  <si>
    <t>TRK64320429</t>
  </si>
  <si>
    <t>ORD200053</t>
  </si>
  <si>
    <t>C67551</t>
  </si>
  <si>
    <t>TRK94992552</t>
  </si>
  <si>
    <t>ORD200054</t>
  </si>
  <si>
    <t>C48120</t>
  </si>
  <si>
    <t>TRK11014449</t>
  </si>
  <si>
    <t>ORD200055</t>
  </si>
  <si>
    <t>C95984</t>
  </si>
  <si>
    <t>TRK67434829</t>
  </si>
  <si>
    <t>ORD200056</t>
  </si>
  <si>
    <t>C54298</t>
  </si>
  <si>
    <t>TRK62902341</t>
  </si>
  <si>
    <t>ORD200057</t>
  </si>
  <si>
    <t>C88036</t>
  </si>
  <si>
    <t>TRK52470128</t>
  </si>
  <si>
    <t>ORD200058</t>
  </si>
  <si>
    <t>C60190</t>
  </si>
  <si>
    <t>TRK70857868</t>
  </si>
  <si>
    <t>ORD200059</t>
  </si>
  <si>
    <t>C97603</t>
  </si>
  <si>
    <t>TRK47055028</t>
  </si>
  <si>
    <t>ORD200060</t>
  </si>
  <si>
    <t>C39256</t>
  </si>
  <si>
    <t>TRK23412025</t>
  </si>
  <si>
    <t>ORD200061</t>
  </si>
  <si>
    <t>C61618</t>
  </si>
  <si>
    <t>TRK43458485</t>
  </si>
  <si>
    <t>ORD200062</t>
  </si>
  <si>
    <t>C36497</t>
  </si>
  <si>
    <t>TRK12102911</t>
  </si>
  <si>
    <t>ORD200063</t>
  </si>
  <si>
    <t>C96695</t>
  </si>
  <si>
    <t>TRK64283851</t>
  </si>
  <si>
    <t>ORD200064</t>
  </si>
  <si>
    <t>C49720</t>
  </si>
  <si>
    <t>TRK55785217</t>
  </si>
  <si>
    <t>ORD200065</t>
  </si>
  <si>
    <t>C97735</t>
  </si>
  <si>
    <t>TRK13743703</t>
  </si>
  <si>
    <t>ORD200066</t>
  </si>
  <si>
    <t>C18104</t>
  </si>
  <si>
    <t>TRK15488568</t>
  </si>
  <si>
    <t>ORD200067</t>
  </si>
  <si>
    <t>C25587</t>
  </si>
  <si>
    <t>TRK55105323</t>
  </si>
  <si>
    <t>ORD200068</t>
  </si>
  <si>
    <t>C41598</t>
  </si>
  <si>
    <t>TRK81665940</t>
  </si>
  <si>
    <t>ORD200069</t>
  </si>
  <si>
    <t>C43338</t>
  </si>
  <si>
    <t>TRK35241775</t>
  </si>
  <si>
    <t>ORD200070</t>
  </si>
  <si>
    <t>C25123</t>
  </si>
  <si>
    <t>TRK27812282</t>
  </si>
  <si>
    <t>ORD200071</t>
  </si>
  <si>
    <t>C37454</t>
  </si>
  <si>
    <t>TRK28252730</t>
  </si>
  <si>
    <t>ORD200072</t>
  </si>
  <si>
    <t>C19451</t>
  </si>
  <si>
    <t>TRK87787793</t>
  </si>
  <si>
    <t>ORD200073</t>
  </si>
  <si>
    <t>C17269</t>
  </si>
  <si>
    <t>TRK79608389</t>
  </si>
  <si>
    <t>ORD200074</t>
  </si>
  <si>
    <t>C25382</t>
  </si>
  <si>
    <t>TRK64691287</t>
  </si>
  <si>
    <t>ORD200075</t>
  </si>
  <si>
    <t>C80651</t>
  </si>
  <si>
    <t>TRK14846720</t>
  </si>
  <si>
    <t>ORD200076</t>
  </si>
  <si>
    <t>C58638</t>
  </si>
  <si>
    <t>TRK38224871</t>
  </si>
  <si>
    <t>ORD200077</t>
  </si>
  <si>
    <t>C50121</t>
  </si>
  <si>
    <t>TRK79810059</t>
  </si>
  <si>
    <t>ORD200078</t>
  </si>
  <si>
    <t>C32029</t>
  </si>
  <si>
    <t>TRK68535532</t>
  </si>
  <si>
    <t>ORD200079</t>
  </si>
  <si>
    <t>C76700</t>
  </si>
  <si>
    <t>TRK13036341</t>
  </si>
  <si>
    <t>ORD200080</t>
  </si>
  <si>
    <t>C29041</t>
  </si>
  <si>
    <t>TRK28840655</t>
  </si>
  <si>
    <t>ORD200081</t>
  </si>
  <si>
    <t>C29314</t>
  </si>
  <si>
    <t>TRK59876213</t>
  </si>
  <si>
    <t>ORD200082</t>
  </si>
  <si>
    <t>C65799</t>
  </si>
  <si>
    <t>TRK66906607</t>
  </si>
  <si>
    <t>ORD200083</t>
  </si>
  <si>
    <t>C15681</t>
  </si>
  <si>
    <t>TRK75112172</t>
  </si>
  <si>
    <t>ORD200084</t>
  </si>
  <si>
    <t>C64160</t>
  </si>
  <si>
    <t>TRK34121529</t>
  </si>
  <si>
    <t>ORD200085</t>
  </si>
  <si>
    <t>C14553</t>
  </si>
  <si>
    <t>TRK93538334</t>
  </si>
  <si>
    <t>ORD200086</t>
  </si>
  <si>
    <t>C88205</t>
  </si>
  <si>
    <t>TRK93504166</t>
  </si>
  <si>
    <t>ORD200087</t>
  </si>
  <si>
    <t>C91245</t>
  </si>
  <si>
    <t>TRK46976391</t>
  </si>
  <si>
    <t>ORD200088</t>
  </si>
  <si>
    <t>C75439</t>
  </si>
  <si>
    <t>TRK19831653</t>
  </si>
  <si>
    <t>ORD200089</t>
  </si>
  <si>
    <t>C17181</t>
  </si>
  <si>
    <t>TRK78912978</t>
  </si>
  <si>
    <t>ORD200090</t>
  </si>
  <si>
    <t>C36540</t>
  </si>
  <si>
    <t>TRK35828122</t>
  </si>
  <si>
    <t>ORD200091</t>
  </si>
  <si>
    <t>C98216</t>
  </si>
  <si>
    <t>TRK40986666</t>
  </si>
  <si>
    <t>ORD200092</t>
  </si>
  <si>
    <t>C29568</t>
  </si>
  <si>
    <t>TRK46531075</t>
  </si>
  <si>
    <t>ORD200093</t>
  </si>
  <si>
    <t>C97262</t>
  </si>
  <si>
    <t>TRK65990229</t>
  </si>
  <si>
    <t>ORD200094</t>
  </si>
  <si>
    <t>C79821</t>
  </si>
  <si>
    <t>TRK12780193</t>
  </si>
  <si>
    <t>ORD200095</t>
  </si>
  <si>
    <t>C76761</t>
  </si>
  <si>
    <t>TRK60179774</t>
  </si>
  <si>
    <t>ORD200096</t>
  </si>
  <si>
    <t>C93007</t>
  </si>
  <si>
    <t>TRK85696091</t>
  </si>
  <si>
    <t>ORD200097</t>
  </si>
  <si>
    <t>C15624</t>
  </si>
  <si>
    <t>TRK40621141</t>
  </si>
  <si>
    <t>ORD200098</t>
  </si>
  <si>
    <t>C70921</t>
  </si>
  <si>
    <t>TRK54983109</t>
  </si>
  <si>
    <t>ORD200099</t>
  </si>
  <si>
    <t>C30477</t>
  </si>
  <si>
    <t>TRK51829648</t>
  </si>
  <si>
    <t>ORD200100</t>
  </si>
  <si>
    <t>C74866</t>
  </si>
  <si>
    <t>TRK53783265</t>
  </si>
  <si>
    <t>ORD200101</t>
  </si>
  <si>
    <t>C15283</t>
  </si>
  <si>
    <t>TRK19286291</t>
  </si>
  <si>
    <t>ORD200102</t>
  </si>
  <si>
    <t>C18037</t>
  </si>
  <si>
    <t>TRK47362236</t>
  </si>
  <si>
    <t>ORD200103</t>
  </si>
  <si>
    <t>C62656</t>
  </si>
  <si>
    <t>TRK86296459</t>
  </si>
  <si>
    <t>ORD200104</t>
  </si>
  <si>
    <t>C65744</t>
  </si>
  <si>
    <t>TRK39906058</t>
  </si>
  <si>
    <t>ORD200105</t>
  </si>
  <si>
    <t>C72290</t>
  </si>
  <si>
    <t>TRK68792129</t>
  </si>
  <si>
    <t>ORD200106</t>
  </si>
  <si>
    <t>C73514</t>
  </si>
  <si>
    <t>TRK96777924</t>
  </si>
  <si>
    <t>ORD200107</t>
  </si>
  <si>
    <t>C16775</t>
  </si>
  <si>
    <t>TRK34392124</t>
  </si>
  <si>
    <t>ORD200108</t>
  </si>
  <si>
    <t>C33099</t>
  </si>
  <si>
    <t>TRK28522330</t>
  </si>
  <si>
    <t>ORD200109</t>
  </si>
  <si>
    <t>C51157</t>
  </si>
  <si>
    <t>TRK18674578</t>
  </si>
  <si>
    <t>ORD200110</t>
  </si>
  <si>
    <t>C74562</t>
  </si>
  <si>
    <t>TRK32062079</t>
  </si>
  <si>
    <t>ORD200111</t>
  </si>
  <si>
    <t>C95271</t>
  </si>
  <si>
    <t>TRK74904969</t>
  </si>
  <si>
    <t>ORD200112</t>
  </si>
  <si>
    <t>C81366</t>
  </si>
  <si>
    <t>TRK17062206</t>
  </si>
  <si>
    <t>ORD200113</t>
  </si>
  <si>
    <t>C65905</t>
  </si>
  <si>
    <t>TRK73954365</t>
  </si>
  <si>
    <t>ORD200114</t>
  </si>
  <si>
    <t>C77272</t>
  </si>
  <si>
    <t>TRK29708128</t>
  </si>
  <si>
    <t>ORD200115</t>
  </si>
  <si>
    <t>C32580</t>
  </si>
  <si>
    <t>TRK23670394</t>
  </si>
  <si>
    <t>ORD200116</t>
  </si>
  <si>
    <t>C47761</t>
  </si>
  <si>
    <t>TRK66669207</t>
  </si>
  <si>
    <t>ORD200117</t>
  </si>
  <si>
    <t>C49187</t>
  </si>
  <si>
    <t>TRK81888598</t>
  </si>
  <si>
    <t>ORD200118</t>
  </si>
  <si>
    <t>C27898</t>
  </si>
  <si>
    <t>TRK61957665</t>
  </si>
  <si>
    <t>ORD200119</t>
  </si>
  <si>
    <t>C14683</t>
  </si>
  <si>
    <t>TRK47373682</t>
  </si>
  <si>
    <t>ORD200120</t>
  </si>
  <si>
    <t>C58108</t>
  </si>
  <si>
    <t>TRK66218053</t>
  </si>
  <si>
    <t>ORD200121</t>
  </si>
  <si>
    <t>C89822</t>
  </si>
  <si>
    <t>TRK24138598</t>
  </si>
  <si>
    <t>ORD200122</t>
  </si>
  <si>
    <t>C96787</t>
  </si>
  <si>
    <t>TRK30422853</t>
  </si>
  <si>
    <t>ORD200123</t>
  </si>
  <si>
    <t>C86064</t>
  </si>
  <si>
    <t>TRK62182901</t>
  </si>
  <si>
    <t>ORD200124</t>
  </si>
  <si>
    <t>C97148</t>
  </si>
  <si>
    <t>TRK85321126</t>
  </si>
  <si>
    <t>ORD200125</t>
  </si>
  <si>
    <t>C91099</t>
  </si>
  <si>
    <t>TRK81846174</t>
  </si>
  <si>
    <t>ORD200126</t>
  </si>
  <si>
    <t>C55606</t>
  </si>
  <si>
    <t>TRK68250319</t>
  </si>
  <si>
    <t>ORD200127</t>
  </si>
  <si>
    <t>C71486</t>
  </si>
  <si>
    <t>TRK73929833</t>
  </si>
  <si>
    <t>ORD200128</t>
  </si>
  <si>
    <t>C86408</t>
  </si>
  <si>
    <t>TRK41432648</t>
  </si>
  <si>
    <t>ORD200129</t>
  </si>
  <si>
    <t>C52751</t>
  </si>
  <si>
    <t>TRK72481234</t>
  </si>
  <si>
    <t>ORD200130</t>
  </si>
  <si>
    <t>C29059</t>
  </si>
  <si>
    <t>TRK88360704</t>
  </si>
  <si>
    <t>ORD200131</t>
  </si>
  <si>
    <t>C72862</t>
  </si>
  <si>
    <t>TRK51648833</t>
  </si>
  <si>
    <t>ORD200132</t>
  </si>
  <si>
    <t>C96257</t>
  </si>
  <si>
    <t>TRK13137948</t>
  </si>
  <si>
    <t>ORD200133</t>
  </si>
  <si>
    <t>C87432</t>
  </si>
  <si>
    <t>TRK68969625</t>
  </si>
  <si>
    <t>ORD200134</t>
  </si>
  <si>
    <t>C16253</t>
  </si>
  <si>
    <t>TRK17354894</t>
  </si>
  <si>
    <t>ORD200135</t>
  </si>
  <si>
    <t>C79909</t>
  </si>
  <si>
    <t>TRK86742257</t>
  </si>
  <si>
    <t>ORD200136</t>
  </si>
  <si>
    <t>C73370</t>
  </si>
  <si>
    <t>TRK67820278</t>
  </si>
  <si>
    <t>ORD200137</t>
  </si>
  <si>
    <t>C50682</t>
  </si>
  <si>
    <t>TRK12242337</t>
  </si>
  <si>
    <t>ORD200138</t>
  </si>
  <si>
    <t>C21905</t>
  </si>
  <si>
    <t>TRK31863841</t>
  </si>
  <si>
    <t>ORD200139</t>
  </si>
  <si>
    <t>C61440</t>
  </si>
  <si>
    <t>TRK33114521</t>
  </si>
  <si>
    <t>ORD200140</t>
  </si>
  <si>
    <t>C33110</t>
  </si>
  <si>
    <t>TRK38624225</t>
  </si>
  <si>
    <t>ORD200141</t>
  </si>
  <si>
    <t>C80004</t>
  </si>
  <si>
    <t>TRK66230753</t>
  </si>
  <si>
    <t>ORD200142</t>
  </si>
  <si>
    <t>C86374</t>
  </si>
  <si>
    <t>TRK79451491</t>
  </si>
  <si>
    <t>ORD200143</t>
  </si>
  <si>
    <t>C66521</t>
  </si>
  <si>
    <t>TRK34654244</t>
  </si>
  <si>
    <t>ORD200144</t>
  </si>
  <si>
    <t>C63365</t>
  </si>
  <si>
    <t>TRK80100887</t>
  </si>
  <si>
    <t>ORD200145</t>
  </si>
  <si>
    <t>C85929</t>
  </si>
  <si>
    <t>TRK29318610</t>
  </si>
  <si>
    <t>ORD200146</t>
  </si>
  <si>
    <t>C84645</t>
  </si>
  <si>
    <t>TRK68893369</t>
  </si>
  <si>
    <t>ORD200147</t>
  </si>
  <si>
    <t>C46316</t>
  </si>
  <si>
    <t>TRK16196000</t>
  </si>
  <si>
    <t>ORD200148</t>
  </si>
  <si>
    <t>C35100</t>
  </si>
  <si>
    <t>TRK56853491</t>
  </si>
  <si>
    <t>ORD200149</t>
  </si>
  <si>
    <t>C39671</t>
  </si>
  <si>
    <t>TRK47153818</t>
  </si>
  <si>
    <t>ORD200150</t>
  </si>
  <si>
    <t>C25503</t>
  </si>
  <si>
    <t>TRK29878837</t>
  </si>
  <si>
    <t>ORD200151</t>
  </si>
  <si>
    <t>C32960</t>
  </si>
  <si>
    <t>TRK91226500</t>
  </si>
  <si>
    <t>ORD200152</t>
  </si>
  <si>
    <t>C77736</t>
  </si>
  <si>
    <t>TRK90329250</t>
  </si>
  <si>
    <t>ORD200153</t>
  </si>
  <si>
    <t>C71570</t>
  </si>
  <si>
    <t>TRK95992269</t>
  </si>
  <si>
    <t>ORD200154</t>
  </si>
  <si>
    <t>C73587</t>
  </si>
  <si>
    <t>TRK13955543</t>
  </si>
  <si>
    <t>ORD200155</t>
  </si>
  <si>
    <t>C62740</t>
  </si>
  <si>
    <t>TRK20706408</t>
  </si>
  <si>
    <t>ORD200156</t>
  </si>
  <si>
    <t>C58808</t>
  </si>
  <si>
    <t>TRK24451893</t>
  </si>
  <si>
    <t>ORD200157</t>
  </si>
  <si>
    <t>C50422</t>
  </si>
  <si>
    <t>TRK71227815</t>
  </si>
  <si>
    <t>ORD200158</t>
  </si>
  <si>
    <t>C23334</t>
  </si>
  <si>
    <t>TRK46335144</t>
  </si>
  <si>
    <t>ORD200159</t>
  </si>
  <si>
    <t>C48965</t>
  </si>
  <si>
    <t>TRK50921780</t>
  </si>
  <si>
    <t>ORD200160</t>
  </si>
  <si>
    <t>C38669</t>
  </si>
  <si>
    <t>TRK81738254</t>
  </si>
  <si>
    <t>ORD200161</t>
  </si>
  <si>
    <t>C35091</t>
  </si>
  <si>
    <t>TRK53784452</t>
  </si>
  <si>
    <t>ORD200162</t>
  </si>
  <si>
    <t>C82313</t>
  </si>
  <si>
    <t>TRK79854624</t>
  </si>
  <si>
    <t>ORD200163</t>
  </si>
  <si>
    <t>C99589</t>
  </si>
  <si>
    <t>TRK16695001</t>
  </si>
  <si>
    <t>ORD200164</t>
  </si>
  <si>
    <t>C70566</t>
  </si>
  <si>
    <t>TRK49673411</t>
  </si>
  <si>
    <t>ORD200165</t>
  </si>
  <si>
    <t>C60355</t>
  </si>
  <si>
    <t>TRK30155194</t>
  </si>
  <si>
    <t>ORD200166</t>
  </si>
  <si>
    <t>C28889</t>
  </si>
  <si>
    <t>TRK23791726</t>
  </si>
  <si>
    <t>ORD200167</t>
  </si>
  <si>
    <t>C88304</t>
  </si>
  <si>
    <t>TRK44268941</t>
  </si>
  <si>
    <t>ORD200168</t>
  </si>
  <si>
    <t>C49517</t>
  </si>
  <si>
    <t>TRK78551375</t>
  </si>
  <si>
    <t>ORD200169</t>
  </si>
  <si>
    <t>C35785</t>
  </si>
  <si>
    <t>TRK78923089</t>
  </si>
  <si>
    <t>ORD200170</t>
  </si>
  <si>
    <t>C80223</t>
  </si>
  <si>
    <t>TRK68632951</t>
  </si>
  <si>
    <t>ORD200171</t>
  </si>
  <si>
    <t>C20448</t>
  </si>
  <si>
    <t>TRK67379895</t>
  </si>
  <si>
    <t>ORD200172</t>
  </si>
  <si>
    <t>C34134</t>
  </si>
  <si>
    <t>TRK43074303</t>
  </si>
  <si>
    <t>ORD200173</t>
  </si>
  <si>
    <t>C95901</t>
  </si>
  <si>
    <t>TRK56989066</t>
  </si>
  <si>
    <t>ORD200174</t>
  </si>
  <si>
    <t>C51145</t>
  </si>
  <si>
    <t>TRK59154274</t>
  </si>
  <si>
    <t>ORD200175</t>
  </si>
  <si>
    <t>C78170</t>
  </si>
  <si>
    <t>TRK71410605</t>
  </si>
  <si>
    <t>ORD200176</t>
  </si>
  <si>
    <t>C80151</t>
  </si>
  <si>
    <t>TRK88251529</t>
  </si>
  <si>
    <t>ORD200177</t>
  </si>
  <si>
    <t>C55632</t>
  </si>
  <si>
    <t>TRK13003066</t>
  </si>
  <si>
    <t>ORD200178</t>
  </si>
  <si>
    <t>C53070</t>
  </si>
  <si>
    <t>TRK49791755</t>
  </si>
  <si>
    <t>ORD200179</t>
  </si>
  <si>
    <t>C27401</t>
  </si>
  <si>
    <t>TRK14332053</t>
  </si>
  <si>
    <t>ORD200180</t>
  </si>
  <si>
    <t>C87216</t>
  </si>
  <si>
    <t>TRK18713727</t>
  </si>
  <si>
    <t>ORD200181</t>
  </si>
  <si>
    <t>C38966</t>
  </si>
  <si>
    <t>TRK17205146</t>
  </si>
  <si>
    <t>ORD200182</t>
  </si>
  <si>
    <t>C16612</t>
  </si>
  <si>
    <t>TRK96188223</t>
  </si>
  <si>
    <t>ORD200183</t>
  </si>
  <si>
    <t>C39246</t>
  </si>
  <si>
    <t>TRK16658182</t>
  </si>
  <si>
    <t>ORD200184</t>
  </si>
  <si>
    <t>C65180</t>
  </si>
  <si>
    <t>TRK39255469</t>
  </si>
  <si>
    <t>ORD200185</t>
  </si>
  <si>
    <t>C46877</t>
  </si>
  <si>
    <t>TRK96935978</t>
  </si>
  <si>
    <t>ORD200186</t>
  </si>
  <si>
    <t>C30334</t>
  </si>
  <si>
    <t>TRK66388885</t>
  </si>
  <si>
    <t>ORD200187</t>
  </si>
  <si>
    <t>C21227</t>
  </si>
  <si>
    <t>TRK79129657</t>
  </si>
  <si>
    <t>ORD200188</t>
  </si>
  <si>
    <t>C97715</t>
  </si>
  <si>
    <t>TRK19515949</t>
  </si>
  <si>
    <t>ORD200189</t>
  </si>
  <si>
    <t>C48939</t>
  </si>
  <si>
    <t>TRK62786764</t>
  </si>
  <si>
    <t>ORD200190</t>
  </si>
  <si>
    <t>C35483</t>
  </si>
  <si>
    <t>TRK79638203</t>
  </si>
  <si>
    <t>ORD200191</t>
  </si>
  <si>
    <t>C51494</t>
  </si>
  <si>
    <t>TRK58520306</t>
  </si>
  <si>
    <t>ORD200192</t>
  </si>
  <si>
    <t>C58410</t>
  </si>
  <si>
    <t>TRK19749672</t>
  </si>
  <si>
    <t>ORD200193</t>
  </si>
  <si>
    <t>C11644</t>
  </si>
  <si>
    <t>TRK81320339</t>
  </si>
  <si>
    <t>ORD200194</t>
  </si>
  <si>
    <t>C53501</t>
  </si>
  <si>
    <t>TRK90144892</t>
  </si>
  <si>
    <t>ORD200195</t>
  </si>
  <si>
    <t>C63619</t>
  </si>
  <si>
    <t>TRK65385674</t>
  </si>
  <si>
    <t>ORD200196</t>
  </si>
  <si>
    <t>C40882</t>
  </si>
  <si>
    <t>TRK64165503</t>
  </si>
  <si>
    <t>ORD200197</t>
  </si>
  <si>
    <t>C80135</t>
  </si>
  <si>
    <t>TRK95222269</t>
  </si>
  <si>
    <t>ORD200198</t>
  </si>
  <si>
    <t>C37594</t>
  </si>
  <si>
    <t>TRK94405162</t>
  </si>
  <si>
    <t>ORD200199</t>
  </si>
  <si>
    <t>C87524</t>
  </si>
  <si>
    <t>TRK21114341</t>
  </si>
  <si>
    <t>ORD200200</t>
  </si>
  <si>
    <t>C97681</t>
  </si>
  <si>
    <t>TRK37531040</t>
  </si>
  <si>
    <t>ORD200201</t>
  </si>
  <si>
    <t>C10126</t>
  </si>
  <si>
    <t>TRK75607531</t>
  </si>
  <si>
    <t>ORD200202</t>
  </si>
  <si>
    <t>C36938</t>
  </si>
  <si>
    <t>TRK52522904</t>
  </si>
  <si>
    <t>ORD200203</t>
  </si>
  <si>
    <t>C99173</t>
  </si>
  <si>
    <t>TRK89849342</t>
  </si>
  <si>
    <t>ORD200204</t>
  </si>
  <si>
    <t>C99775</t>
  </si>
  <si>
    <t>TRK21638425</t>
  </si>
  <si>
    <t>ORD200205</t>
  </si>
  <si>
    <t>C19266</t>
  </si>
  <si>
    <t>TRK58357269</t>
  </si>
  <si>
    <t>ORD200206</t>
  </si>
  <si>
    <t>C31072</t>
  </si>
  <si>
    <t>TRK77172975</t>
  </si>
  <si>
    <t>ORD200207</t>
  </si>
  <si>
    <t>C54595</t>
  </si>
  <si>
    <t>TRK44416659</t>
  </si>
  <si>
    <t>ORD200208</t>
  </si>
  <si>
    <t>C87777</t>
  </si>
  <si>
    <t>TRK29003608</t>
  </si>
  <si>
    <t>ORD200209</t>
  </si>
  <si>
    <t>C35854</t>
  </si>
  <si>
    <t>TRK30615168</t>
  </si>
  <si>
    <t>ORD200210</t>
  </si>
  <si>
    <t>C93821</t>
  </si>
  <si>
    <t>TRK10658539</t>
  </si>
  <si>
    <t>ORD200211</t>
  </si>
  <si>
    <t>C54390</t>
  </si>
  <si>
    <t>TRK83853742</t>
  </si>
  <si>
    <t>ORD200212</t>
  </si>
  <si>
    <t>C53215</t>
  </si>
  <si>
    <t>TRK34751835</t>
  </si>
  <si>
    <t>ORD200213</t>
  </si>
  <si>
    <t>C71122</t>
  </si>
  <si>
    <t>TRK54757882</t>
  </si>
  <si>
    <t>ORD200214</t>
  </si>
  <si>
    <t>C29483</t>
  </si>
  <si>
    <t>TRK89423603</t>
  </si>
  <si>
    <t>ORD200215</t>
  </si>
  <si>
    <t>C26767</t>
  </si>
  <si>
    <t>TRK24585307</t>
  </si>
  <si>
    <t>ORD200216</t>
  </si>
  <si>
    <t>C70492</t>
  </si>
  <si>
    <t>TRK84625405</t>
  </si>
  <si>
    <t>ORD200217</t>
  </si>
  <si>
    <t>C61549</t>
  </si>
  <si>
    <t>TRK65596914</t>
  </si>
  <si>
    <t>ORD200218</t>
  </si>
  <si>
    <t>C11665</t>
  </si>
  <si>
    <t>TRK10993930</t>
  </si>
  <si>
    <t>ORD200219</t>
  </si>
  <si>
    <t>C48946</t>
  </si>
  <si>
    <t>TRK99387220</t>
  </si>
  <si>
    <t>ORD200220</t>
  </si>
  <si>
    <t>C79506</t>
  </si>
  <si>
    <t>TRK95188748</t>
  </si>
  <si>
    <t>ORD200221</t>
  </si>
  <si>
    <t>C93473</t>
  </si>
  <si>
    <t>TRK50003989</t>
  </si>
  <si>
    <t>ORD200222</t>
  </si>
  <si>
    <t>C43124</t>
  </si>
  <si>
    <t>TRK17293348</t>
  </si>
  <si>
    <t>ORD200223</t>
  </si>
  <si>
    <t>C22783</t>
  </si>
  <si>
    <t>TRK55009149</t>
  </si>
  <si>
    <t>ORD200224</t>
  </si>
  <si>
    <t>C18567</t>
  </si>
  <si>
    <t>TRK17554673</t>
  </si>
  <si>
    <t>ORD200225</t>
  </si>
  <si>
    <t>C99879</t>
  </si>
  <si>
    <t>TRK50246700</t>
  </si>
  <si>
    <t>ORD200226</t>
  </si>
  <si>
    <t>C31501</t>
  </si>
  <si>
    <t>TRK93063929</t>
  </si>
  <si>
    <t>ORD200227</t>
  </si>
  <si>
    <t>C93220</t>
  </si>
  <si>
    <t>TRK89023251</t>
  </si>
  <si>
    <t>ORD200228</t>
  </si>
  <si>
    <t>C57867</t>
  </si>
  <si>
    <t>TRK92055007</t>
  </si>
  <si>
    <t>ORD200229</t>
  </si>
  <si>
    <t>C62622</t>
  </si>
  <si>
    <t>TRK70997648</t>
  </si>
  <si>
    <t>ORD200230</t>
  </si>
  <si>
    <t>C94595</t>
  </si>
  <si>
    <t>TRK24497305</t>
  </si>
  <si>
    <t>ORD200231</t>
  </si>
  <si>
    <t>C30955</t>
  </si>
  <si>
    <t>TRK46898848</t>
  </si>
  <si>
    <t>ORD200232</t>
  </si>
  <si>
    <t>C20731</t>
  </si>
  <si>
    <t>TRK75568437</t>
  </si>
  <si>
    <t>ORD200233</t>
  </si>
  <si>
    <t>C30168</t>
  </si>
  <si>
    <t>TRK73699939</t>
  </si>
  <si>
    <t>ORD200234</t>
  </si>
  <si>
    <t>C79842</t>
  </si>
  <si>
    <t>TRK26957950</t>
  </si>
  <si>
    <t>ORD200235</t>
  </si>
  <si>
    <t>C32854</t>
  </si>
  <si>
    <t>TRK30009218</t>
  </si>
  <si>
    <t>ORD200236</t>
  </si>
  <si>
    <t>C14847</t>
  </si>
  <si>
    <t>TRK39663243</t>
  </si>
  <si>
    <t>ORD200237</t>
  </si>
  <si>
    <t>C88645</t>
  </si>
  <si>
    <t>TRK74097570</t>
  </si>
  <si>
    <t>ORD200238</t>
  </si>
  <si>
    <t>C66149</t>
  </si>
  <si>
    <t>TRK76307307</t>
  </si>
  <si>
    <t>ORD200239</t>
  </si>
  <si>
    <t>C20256</t>
  </si>
  <si>
    <t>TRK71127943</t>
  </si>
  <si>
    <t>ORD200240</t>
  </si>
  <si>
    <t>C14983</t>
  </si>
  <si>
    <t>TRK93444157</t>
  </si>
  <si>
    <t>ORD200241</t>
  </si>
  <si>
    <t>C20817</t>
  </si>
  <si>
    <t>TRK44164590</t>
  </si>
  <si>
    <t>ORD200242</t>
  </si>
  <si>
    <t>C94921</t>
  </si>
  <si>
    <t>TRK97794327</t>
  </si>
  <si>
    <t>ORD200243</t>
  </si>
  <si>
    <t>C54725</t>
  </si>
  <si>
    <t>TRK30601940</t>
  </si>
  <si>
    <t>ORD200244</t>
  </si>
  <si>
    <t>C98096</t>
  </si>
  <si>
    <t>TRK51518631</t>
  </si>
  <si>
    <t>ORD200245</t>
  </si>
  <si>
    <t>C12667</t>
  </si>
  <si>
    <t>TRK25390491</t>
  </si>
  <si>
    <t>ORD200246</t>
  </si>
  <si>
    <t>C55354</t>
  </si>
  <si>
    <t>TRK15439493</t>
  </si>
  <si>
    <t>ORD200247</t>
  </si>
  <si>
    <t>C14600</t>
  </si>
  <si>
    <t>TRK84984764</t>
  </si>
  <si>
    <t>ORD200248</t>
  </si>
  <si>
    <t>C97187</t>
  </si>
  <si>
    <t>TRK62283713</t>
  </si>
  <si>
    <t>ORD200249</t>
  </si>
  <si>
    <t>C39106</t>
  </si>
  <si>
    <t>TRK35464433</t>
  </si>
  <si>
    <t>ORD200250</t>
  </si>
  <si>
    <t>C93379</t>
  </si>
  <si>
    <t>TRK67954150</t>
  </si>
  <si>
    <t>ORD200251</t>
  </si>
  <si>
    <t>C93175</t>
  </si>
  <si>
    <t>TRK32995144</t>
  </si>
  <si>
    <t>ORD200252</t>
  </si>
  <si>
    <t>C19648</t>
  </si>
  <si>
    <t>TRK51297879</t>
  </si>
  <si>
    <t>ORD200253</t>
  </si>
  <si>
    <t>C14891</t>
  </si>
  <si>
    <t>TRK79471534</t>
  </si>
  <si>
    <t>ORD200254</t>
  </si>
  <si>
    <t>C10866</t>
  </si>
  <si>
    <t>TRK34809583</t>
  </si>
  <si>
    <t>ORD200255</t>
  </si>
  <si>
    <t>C47283</t>
  </si>
  <si>
    <t>TRK56235117</t>
  </si>
  <si>
    <t>ORD200256</t>
  </si>
  <si>
    <t>C94323</t>
  </si>
  <si>
    <t>TRK22663277</t>
  </si>
  <si>
    <t>ORD200257</t>
  </si>
  <si>
    <t>C89732</t>
  </si>
  <si>
    <t>TRK41059233</t>
  </si>
  <si>
    <t>ORD200258</t>
  </si>
  <si>
    <t>C87764</t>
  </si>
  <si>
    <t>TRK94082469</t>
  </si>
  <si>
    <t>ORD200259</t>
  </si>
  <si>
    <t>C20977</t>
  </si>
  <si>
    <t>TRK54991561</t>
  </si>
  <si>
    <t>ORD200260</t>
  </si>
  <si>
    <t>C12245</t>
  </si>
  <si>
    <t>TRK22000463</t>
  </si>
  <si>
    <t>ORD200261</t>
  </si>
  <si>
    <t>C68976</t>
  </si>
  <si>
    <t>TRK25491356</t>
  </si>
  <si>
    <t>ORD200262</t>
  </si>
  <si>
    <t>C69476</t>
  </si>
  <si>
    <t>TRK65869386</t>
  </si>
  <si>
    <t>ORD200263</t>
  </si>
  <si>
    <t>C71040</t>
  </si>
  <si>
    <t>TRK41397604</t>
  </si>
  <si>
    <t>ORD200264</t>
  </si>
  <si>
    <t>C71035</t>
  </si>
  <si>
    <t>TRK19599578</t>
  </si>
  <si>
    <t>ORD200265</t>
  </si>
  <si>
    <t>C20752</t>
  </si>
  <si>
    <t>TRK22298450</t>
  </si>
  <si>
    <t>ORD200266</t>
  </si>
  <si>
    <t>C38840</t>
  </si>
  <si>
    <t>TRK48484633</t>
  </si>
  <si>
    <t>ORD200267</t>
  </si>
  <si>
    <t>C84480</t>
  </si>
  <si>
    <t>TRK62361867</t>
  </si>
  <si>
    <t>ORD200268</t>
  </si>
  <si>
    <t>C37032</t>
  </si>
  <si>
    <t>TRK48639226</t>
  </si>
  <si>
    <t>ORD200269</t>
  </si>
  <si>
    <t>C48942</t>
  </si>
  <si>
    <t>TRK29355120</t>
  </si>
  <si>
    <t>ORD200270</t>
  </si>
  <si>
    <t>C13540</t>
  </si>
  <si>
    <t>TRK81087373</t>
  </si>
  <si>
    <t>ORD200271</t>
  </si>
  <si>
    <t>C59572</t>
  </si>
  <si>
    <t>TRK16792991</t>
  </si>
  <si>
    <t>ORD200272</t>
  </si>
  <si>
    <t>C29758</t>
  </si>
  <si>
    <t>TRK12990043</t>
  </si>
  <si>
    <t>ORD200273</t>
  </si>
  <si>
    <t>C11849</t>
  </si>
  <si>
    <t>TRK91195261</t>
  </si>
  <si>
    <t>ORD200274</t>
  </si>
  <si>
    <t>C50967</t>
  </si>
  <si>
    <t>TRK65300814</t>
  </si>
  <si>
    <t>ORD200275</t>
  </si>
  <si>
    <t>C80735</t>
  </si>
  <si>
    <t>TRK99880231</t>
  </si>
  <si>
    <t>ORD200276</t>
  </si>
  <si>
    <t>C99050</t>
  </si>
  <si>
    <t>TRK56927089</t>
  </si>
  <si>
    <t>ORD200277</t>
  </si>
  <si>
    <t>C11210</t>
  </si>
  <si>
    <t>TRK44929965</t>
  </si>
  <si>
    <t>ORD200278</t>
  </si>
  <si>
    <t>C46015</t>
  </si>
  <si>
    <t>TRK46598430</t>
  </si>
  <si>
    <t>ORD200279</t>
  </si>
  <si>
    <t>C69167</t>
  </si>
  <si>
    <t>TRK12425655</t>
  </si>
  <si>
    <t>ORD200280</t>
  </si>
  <si>
    <t>C55388</t>
  </si>
  <si>
    <t>TRK75741001</t>
  </si>
  <si>
    <t>ORD200281</t>
  </si>
  <si>
    <t>C87181</t>
  </si>
  <si>
    <t>TRK60093390</t>
  </si>
  <si>
    <t>ORD200282</t>
  </si>
  <si>
    <t>C30411</t>
  </si>
  <si>
    <t>TRK71810536</t>
  </si>
  <si>
    <t>ORD200283</t>
  </si>
  <si>
    <t>C39638</t>
  </si>
  <si>
    <t>TRK69745608</t>
  </si>
  <si>
    <t>ORD200284</t>
  </si>
  <si>
    <t>C27203</t>
  </si>
  <si>
    <t>TRK22023906</t>
  </si>
  <si>
    <t>ORD200285</t>
  </si>
  <si>
    <t>C67583</t>
  </si>
  <si>
    <t>TRK93281700</t>
  </si>
  <si>
    <t>ORD200286</t>
  </si>
  <si>
    <t>C70554</t>
  </si>
  <si>
    <t>TRK61086952</t>
  </si>
  <si>
    <t>ORD200287</t>
  </si>
  <si>
    <t>C70437</t>
  </si>
  <si>
    <t>TRK26628830</t>
  </si>
  <si>
    <t>ORD200288</t>
  </si>
  <si>
    <t>C97643</t>
  </si>
  <si>
    <t>TRK60831391</t>
  </si>
  <si>
    <t>ORD200289</t>
  </si>
  <si>
    <t>C17136</t>
  </si>
  <si>
    <t>TRK55362541</t>
  </si>
  <si>
    <t>ORD200290</t>
  </si>
  <si>
    <t>C24901</t>
  </si>
  <si>
    <t>TRK14029489</t>
  </si>
  <si>
    <t>ORD200291</t>
  </si>
  <si>
    <t>C61521</t>
  </si>
  <si>
    <t>TRK93676567</t>
  </si>
  <si>
    <t>ORD200292</t>
  </si>
  <si>
    <t>C39639</t>
  </si>
  <si>
    <t>TRK31042152</t>
  </si>
  <si>
    <t>ORD200293</t>
  </si>
  <si>
    <t>C33220</t>
  </si>
  <si>
    <t>TRK40450219</t>
  </si>
  <si>
    <t>ORD200294</t>
  </si>
  <si>
    <t>C65414</t>
  </si>
  <si>
    <t>TRK67562517</t>
  </si>
  <si>
    <t>ORD200295</t>
  </si>
  <si>
    <t>C49009</t>
  </si>
  <si>
    <t>TRK46285799</t>
  </si>
  <si>
    <t>ORD200296</t>
  </si>
  <si>
    <t>C48453</t>
  </si>
  <si>
    <t>TRK52110494</t>
  </si>
  <si>
    <t>ORD200297</t>
  </si>
  <si>
    <t>C68078</t>
  </si>
  <si>
    <t>TRK64862812</t>
  </si>
  <si>
    <t>ORD200298</t>
  </si>
  <si>
    <t>C19402</t>
  </si>
  <si>
    <t>TRK97825212</t>
  </si>
  <si>
    <t>ORD200299</t>
  </si>
  <si>
    <t>C30711</t>
  </si>
  <si>
    <t>TRK42696593</t>
  </si>
  <si>
    <t>ORD200300</t>
  </si>
  <si>
    <t>C39000</t>
  </si>
  <si>
    <t>TRK33753945</t>
  </si>
  <si>
    <t>ORD200301</t>
  </si>
  <si>
    <t>C31105</t>
  </si>
  <si>
    <t>TRK40149095</t>
  </si>
  <si>
    <t>ORD200302</t>
  </si>
  <si>
    <t>C29432</t>
  </si>
  <si>
    <t>TRK44142517</t>
  </si>
  <si>
    <t>ORD200303</t>
  </si>
  <si>
    <t>C48531</t>
  </si>
  <si>
    <t>TRK95462192</t>
  </si>
  <si>
    <t>ORD200304</t>
  </si>
  <si>
    <t>C86762</t>
  </si>
  <si>
    <t>TRK75686292</t>
  </si>
  <si>
    <t>ORD200305</t>
  </si>
  <si>
    <t>C63822</t>
  </si>
  <si>
    <t>TRK59353216</t>
  </si>
  <si>
    <t>ORD200306</t>
  </si>
  <si>
    <t>C70495</t>
  </si>
  <si>
    <t>TRK65511225</t>
  </si>
  <si>
    <t>ORD200307</t>
  </si>
  <si>
    <t>C92407</t>
  </si>
  <si>
    <t>TRK11755610</t>
  </si>
  <si>
    <t>ORD200308</t>
  </si>
  <si>
    <t>C75888</t>
  </si>
  <si>
    <t>TRK98467398</t>
  </si>
  <si>
    <t>ORD200309</t>
  </si>
  <si>
    <t>C63153</t>
  </si>
  <si>
    <t>TRK38033305</t>
  </si>
  <si>
    <t>ORD200310</t>
  </si>
  <si>
    <t>C85863</t>
  </si>
  <si>
    <t>TRK16094218</t>
  </si>
  <si>
    <t>ORD200311</t>
  </si>
  <si>
    <t>C71698</t>
  </si>
  <si>
    <t>TRK34786818</t>
  </si>
  <si>
    <t>ORD200312</t>
  </si>
  <si>
    <t>C35397</t>
  </si>
  <si>
    <t>TRK64742535</t>
  </si>
  <si>
    <t>ORD200313</t>
  </si>
  <si>
    <t>C67687</t>
  </si>
  <si>
    <t>TRK22838735</t>
  </si>
  <si>
    <t>ORD200314</t>
  </si>
  <si>
    <t>C29931</t>
  </si>
  <si>
    <t>TRK48712417</t>
  </si>
  <si>
    <t>ORD200315</t>
  </si>
  <si>
    <t>C59139</t>
  </si>
  <si>
    <t>TRK45507090</t>
  </si>
  <si>
    <t>ORD200316</t>
  </si>
  <si>
    <t>C66078</t>
  </si>
  <si>
    <t>TRK86474559</t>
  </si>
  <si>
    <t>ORD200317</t>
  </si>
  <si>
    <t>C88370</t>
  </si>
  <si>
    <t>TRK22575151</t>
  </si>
  <si>
    <t>ORD200318</t>
  </si>
  <si>
    <t>C93375</t>
  </si>
  <si>
    <t>TRK95706967</t>
  </si>
  <si>
    <t>ORD200319</t>
  </si>
  <si>
    <t>C53049</t>
  </si>
  <si>
    <t>TRK48974907</t>
  </si>
  <si>
    <t>ORD200320</t>
  </si>
  <si>
    <t>C55590</t>
  </si>
  <si>
    <t>TRK48792951</t>
  </si>
  <si>
    <t>ORD200321</t>
  </si>
  <si>
    <t>C47086</t>
  </si>
  <si>
    <t>TRK44194358</t>
  </si>
  <si>
    <t>ORD200322</t>
  </si>
  <si>
    <t>C48646</t>
  </si>
  <si>
    <t>TRK18233748</t>
  </si>
  <si>
    <t>ORD200323</t>
  </si>
  <si>
    <t>C29416</t>
  </si>
  <si>
    <t>TRK63820842</t>
  </si>
  <si>
    <t>ORD200324</t>
  </si>
  <si>
    <t>C13525</t>
  </si>
  <si>
    <t>TRK70193221</t>
  </si>
  <si>
    <t>ORD200325</t>
  </si>
  <si>
    <t>C53545</t>
  </si>
  <si>
    <t>TRK61123177</t>
  </si>
  <si>
    <t>ORD200326</t>
  </si>
  <si>
    <t>C65986</t>
  </si>
  <si>
    <t>TRK98353867</t>
  </si>
  <si>
    <t>ORD200327</t>
  </si>
  <si>
    <t>C17302</t>
  </si>
  <si>
    <t>TRK43940016</t>
  </si>
  <si>
    <t>ORD200328</t>
  </si>
  <si>
    <t>C18404</t>
  </si>
  <si>
    <t>TRK89401624</t>
  </si>
  <si>
    <t>ORD200329</t>
  </si>
  <si>
    <t>C88371</t>
  </si>
  <si>
    <t>TRK63224811</t>
  </si>
  <si>
    <t>ORD200330</t>
  </si>
  <si>
    <t>C38068</t>
  </si>
  <si>
    <t>TRK54059198</t>
  </si>
  <si>
    <t>ORD200331</t>
  </si>
  <si>
    <t>C78724</t>
  </si>
  <si>
    <t>TRK25703134</t>
  </si>
  <si>
    <t>ORD200332</t>
  </si>
  <si>
    <t>C26163</t>
  </si>
  <si>
    <t>TRK67499316</t>
  </si>
  <si>
    <t>ORD200333</t>
  </si>
  <si>
    <t>C87124</t>
  </si>
  <si>
    <t>TRK52086740</t>
  </si>
  <si>
    <t>ORD200334</t>
  </si>
  <si>
    <t>C90348</t>
  </si>
  <si>
    <t>TRK20635777</t>
  </si>
  <si>
    <t>ORD200335</t>
  </si>
  <si>
    <t>C58721</t>
  </si>
  <si>
    <t>TRK34801199</t>
  </si>
  <si>
    <t>ORD200336</t>
  </si>
  <si>
    <t>C88174</t>
  </si>
  <si>
    <t>TRK10143345</t>
  </si>
  <si>
    <t>ORD200337</t>
  </si>
  <si>
    <t>C77763</t>
  </si>
  <si>
    <t>TRK66980447</t>
  </si>
  <si>
    <t>ORD200338</t>
  </si>
  <si>
    <t>C53627</t>
  </si>
  <si>
    <t>TRK64112352</t>
  </si>
  <si>
    <t>ORD200339</t>
  </si>
  <si>
    <t>C84563</t>
  </si>
  <si>
    <t>TRK62422797</t>
  </si>
  <si>
    <t>ORD200340</t>
  </si>
  <si>
    <t>C76207</t>
  </si>
  <si>
    <t>TRK25569378</t>
  </si>
  <si>
    <t>ORD200341</t>
  </si>
  <si>
    <t>C94671</t>
  </si>
  <si>
    <t>TRK61357272</t>
  </si>
  <si>
    <t>ORD200342</t>
  </si>
  <si>
    <t>C69994</t>
  </si>
  <si>
    <t>TRK95935805</t>
  </si>
  <si>
    <t>ORD200343</t>
  </si>
  <si>
    <t>C64638</t>
  </si>
  <si>
    <t>TRK64087938</t>
  </si>
  <si>
    <t>ORD200344</t>
  </si>
  <si>
    <t>C95623</t>
  </si>
  <si>
    <t>TRK67558189</t>
  </si>
  <si>
    <t>ORD200345</t>
  </si>
  <si>
    <t>C24751</t>
  </si>
  <si>
    <t>TRK37285406</t>
  </si>
  <si>
    <t>ORD200346</t>
  </si>
  <si>
    <t>C31764</t>
  </si>
  <si>
    <t>TRK44680433</t>
  </si>
  <si>
    <t>ORD200347</t>
  </si>
  <si>
    <t>C83556</t>
  </si>
  <si>
    <t>TRK21109187</t>
  </si>
  <si>
    <t>ORD200348</t>
  </si>
  <si>
    <t>C24369</t>
  </si>
  <si>
    <t>TRK72633998</t>
  </si>
  <si>
    <t>ORD200349</t>
  </si>
  <si>
    <t>C39648</t>
  </si>
  <si>
    <t>TRK56016905</t>
  </si>
  <si>
    <t>ORD200350</t>
  </si>
  <si>
    <t>C13296</t>
  </si>
  <si>
    <t>TRK60127216</t>
  </si>
  <si>
    <t>ORD200351</t>
  </si>
  <si>
    <t>C94248</t>
  </si>
  <si>
    <t>TRK89406816</t>
  </si>
  <si>
    <t>ORD200352</t>
  </si>
  <si>
    <t>C26637</t>
  </si>
  <si>
    <t>TRK59546992</t>
  </si>
  <si>
    <t>ORD200353</t>
  </si>
  <si>
    <t>C16012</t>
  </si>
  <si>
    <t>TRK15195225</t>
  </si>
  <si>
    <t>ORD200354</t>
  </si>
  <si>
    <t>C31772</t>
  </si>
  <si>
    <t>TRK11970357</t>
  </si>
  <si>
    <t>ORD200355</t>
  </si>
  <si>
    <t>C18353</t>
  </si>
  <si>
    <t>TRK78766533</t>
  </si>
  <si>
    <t>ORD200356</t>
  </si>
  <si>
    <t>C26966</t>
  </si>
  <si>
    <t>TRK83889574</t>
  </si>
  <si>
    <t>ORD200357</t>
  </si>
  <si>
    <t>C74982</t>
  </si>
  <si>
    <t>TRK98700702</t>
  </si>
  <si>
    <t>ORD200358</t>
  </si>
  <si>
    <t>C70633</t>
  </si>
  <si>
    <t>TRK82540521</t>
  </si>
  <si>
    <t>ORD200359</t>
  </si>
  <si>
    <t>C95643</t>
  </si>
  <si>
    <t>TRK23286689</t>
  </si>
  <si>
    <t>ORD200360</t>
  </si>
  <si>
    <t>C53810</t>
  </si>
  <si>
    <t>TRK34630612</t>
  </si>
  <si>
    <t>ORD200361</t>
  </si>
  <si>
    <t>C53464</t>
  </si>
  <si>
    <t>TRK32743531</t>
  </si>
  <si>
    <t>ORD200362</t>
  </si>
  <si>
    <t>C53697</t>
  </si>
  <si>
    <t>TRK60476656</t>
  </si>
  <si>
    <t>ORD200363</t>
  </si>
  <si>
    <t>C31668</t>
  </si>
  <si>
    <t>TRK42584392</t>
  </si>
  <si>
    <t>ORD200364</t>
  </si>
  <si>
    <t>C85282</t>
  </si>
  <si>
    <t>TRK86767206</t>
  </si>
  <si>
    <t>ORD200365</t>
  </si>
  <si>
    <t>C56796</t>
  </si>
  <si>
    <t>TRK74263180</t>
  </si>
  <si>
    <t>ORD200366</t>
  </si>
  <si>
    <t>C95213</t>
  </si>
  <si>
    <t>TRK40630538</t>
  </si>
  <si>
    <t>ORD200367</t>
  </si>
  <si>
    <t>C13108</t>
  </si>
  <si>
    <t>TRK82284400</t>
  </si>
  <si>
    <t>ORD200368</t>
  </si>
  <si>
    <t>C85322</t>
  </si>
  <si>
    <t>TRK89728869</t>
  </si>
  <si>
    <t>ORD200369</t>
  </si>
  <si>
    <t>C43545</t>
  </si>
  <si>
    <t>TRK73937402</t>
  </si>
  <si>
    <t>ORD200370</t>
  </si>
  <si>
    <t>C80649</t>
  </si>
  <si>
    <t>TRK41143313</t>
  </si>
  <si>
    <t>ORD200371</t>
  </si>
  <si>
    <t>C59752</t>
  </si>
  <si>
    <t>TRK82229639</t>
  </si>
  <si>
    <t>ORD200372</t>
  </si>
  <si>
    <t>C53645</t>
  </si>
  <si>
    <t>TRK12123939</t>
  </si>
  <si>
    <t>ORD200373</t>
  </si>
  <si>
    <t>C60178</t>
  </si>
  <si>
    <t>TRK84505143</t>
  </si>
  <si>
    <t>ORD200374</t>
  </si>
  <si>
    <t>C20286</t>
  </si>
  <si>
    <t>TRK67648338</t>
  </si>
  <si>
    <t>ORD200375</t>
  </si>
  <si>
    <t>C87547</t>
  </si>
  <si>
    <t>TRK71027262</t>
  </si>
  <si>
    <t>ORD200376</t>
  </si>
  <si>
    <t>C64549</t>
  </si>
  <si>
    <t>TRK20788231</t>
  </si>
  <si>
    <t>ORD200377</t>
  </si>
  <si>
    <t>C24884</t>
  </si>
  <si>
    <t>TRK44538419</t>
  </si>
  <si>
    <t>ORD200378</t>
  </si>
  <si>
    <t>C62666</t>
  </si>
  <si>
    <t>TRK91029390</t>
  </si>
  <si>
    <t>ORD200379</t>
  </si>
  <si>
    <t>C47284</t>
  </si>
  <si>
    <t>TRK85756094</t>
  </si>
  <si>
    <t>ORD200380</t>
  </si>
  <si>
    <t>C35355</t>
  </si>
  <si>
    <t>TRK52935059</t>
  </si>
  <si>
    <t>ORD200381</t>
  </si>
  <si>
    <t>C29467</t>
  </si>
  <si>
    <t>TRK98103385</t>
  </si>
  <si>
    <t>ORD200382</t>
  </si>
  <si>
    <t>C26718</t>
  </si>
  <si>
    <t>TRK91702525</t>
  </si>
  <si>
    <t>ORD200383</t>
  </si>
  <si>
    <t>C18944</t>
  </si>
  <si>
    <t>TRK45275439</t>
  </si>
  <si>
    <t>ORD200384</t>
  </si>
  <si>
    <t>C35628</t>
  </si>
  <si>
    <t>TRK45688220</t>
  </si>
  <si>
    <t>ORD200385</t>
  </si>
  <si>
    <t>C56851</t>
  </si>
  <si>
    <t>TRK65290904</t>
  </si>
  <si>
    <t>ORD200386</t>
  </si>
  <si>
    <t>C12421</t>
  </si>
  <si>
    <t>TRK32588504</t>
  </si>
  <si>
    <t>ORD200387</t>
  </si>
  <si>
    <t>C25316</t>
  </si>
  <si>
    <t>TRK55423551</t>
  </si>
  <si>
    <t>ORD200388</t>
  </si>
  <si>
    <t>C22657</t>
  </si>
  <si>
    <t>TRK49157047</t>
  </si>
  <si>
    <t>ORD200389</t>
  </si>
  <si>
    <t>C29703</t>
  </si>
  <si>
    <t>TRK40543461</t>
  </si>
  <si>
    <t>ORD200390</t>
  </si>
  <si>
    <t>C55996</t>
  </si>
  <si>
    <t>TRK30547638</t>
  </si>
  <si>
    <t>ORD200391</t>
  </si>
  <si>
    <t>C60037</t>
  </si>
  <si>
    <t>TRK82009557</t>
  </si>
  <si>
    <t>ORD200392</t>
  </si>
  <si>
    <t>C95100</t>
  </si>
  <si>
    <t>TRK47366265</t>
  </si>
  <si>
    <t>ORD200393</t>
  </si>
  <si>
    <t>C39906</t>
  </si>
  <si>
    <t>TRK24632134</t>
  </si>
  <si>
    <t>ORD200394</t>
  </si>
  <si>
    <t>C70148</t>
  </si>
  <si>
    <t>TRK34848650</t>
  </si>
  <si>
    <t>ORD200395</t>
  </si>
  <si>
    <t>C30010</t>
  </si>
  <si>
    <t>TRK35386084</t>
  </si>
  <si>
    <t>ORD200396</t>
  </si>
  <si>
    <t>C99217</t>
  </si>
  <si>
    <t>TRK82004594</t>
  </si>
  <si>
    <t>ORD200397</t>
  </si>
  <si>
    <t>C30184</t>
  </si>
  <si>
    <t>TRK86674704</t>
  </si>
  <si>
    <t>ORD200398</t>
  </si>
  <si>
    <t>C50275</t>
  </si>
  <si>
    <t>TRK98925264</t>
  </si>
  <si>
    <t>ORD200399</t>
  </si>
  <si>
    <t>C64641</t>
  </si>
  <si>
    <t>TRK32012588</t>
  </si>
  <si>
    <t>ORD200400</t>
  </si>
  <si>
    <t>C56266</t>
  </si>
  <si>
    <t>TRK60088901</t>
  </si>
  <si>
    <t>ORD200401</t>
  </si>
  <si>
    <t>C98635</t>
  </si>
  <si>
    <t>TRK14225465</t>
  </si>
  <si>
    <t>ORD200402</t>
  </si>
  <si>
    <t>C83026</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</si>
  <si>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</si>
  <si>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</si>
  <si>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</si>
  <si>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</si>
  <si>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</si>
  <si>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</si>
  <si>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</si>
  <si>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</si>
  <si>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</si>
  <si>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</si>
  <si>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</si>
  <si>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</si>
  <si>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</si>
  <si>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</si>
  <si>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</si>
  <si>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</si>
  <si>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</si>
  <si>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</si>
  <si>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TRK31140158</t>
  </si>
  <si>
    <t>ORD200409</t>
  </si>
  <si>
    <t>C45187</t>
  </si>
  <si>
    <t>TRK12320793</t>
  </si>
  <si>
    <t>ORD200410</t>
  </si>
  <si>
    <t>C37375</t>
  </si>
  <si>
    <t>TRK52470162</t>
  </si>
  <si>
    <t>ORD200411</t>
  </si>
  <si>
    <t>C66567</t>
  </si>
  <si>
    <t>TRK21174822</t>
  </si>
  <si>
    <t>ORD200412</t>
  </si>
  <si>
    <t>C42451</t>
  </si>
  <si>
    <t>TRK31313343</t>
  </si>
  <si>
    <t>ORD200413</t>
  </si>
  <si>
    <t>C13923</t>
  </si>
  <si>
    <t>TRK87598790</t>
  </si>
  <si>
    <t>ORD200414</t>
  </si>
  <si>
    <t>C11829</t>
  </si>
  <si>
    <t>TRK84229257</t>
  </si>
  <si>
    <t>ORD200415</t>
  </si>
  <si>
    <t>C62169</t>
  </si>
  <si>
    <t>TRK64558985</t>
  </si>
  <si>
    <t>ORD200416</t>
  </si>
  <si>
    <t>C20881</t>
  </si>
  <si>
    <t>TRK26263902</t>
  </si>
  <si>
    <t>ORD200417</t>
  </si>
  <si>
    <t>C44492</t>
  </si>
  <si>
    <t>TRK51429869</t>
  </si>
  <si>
    <t>ORD200418</t>
  </si>
  <si>
    <t>C74169</t>
  </si>
  <si>
    <t>TRK66144809</t>
  </si>
  <si>
    <t>ORD200419</t>
  </si>
  <si>
    <t>C70999</t>
  </si>
  <si>
    <t>TRK75644156</t>
  </si>
  <si>
    <t>ORD200420</t>
  </si>
  <si>
    <t>C11921</t>
  </si>
  <si>
    <t>TRK91362635</t>
  </si>
  <si>
    <t>ORD200421</t>
  </si>
  <si>
    <t>C50683</t>
  </si>
  <si>
    <t>TRK53032122</t>
  </si>
  <si>
    <t>ORD200422</t>
  </si>
  <si>
    <t>C76140</t>
  </si>
  <si>
    <t>TRK25861469</t>
  </si>
  <si>
    <t>ORD200423</t>
  </si>
  <si>
    <t>C94311</t>
  </si>
  <si>
    <t>TRK97308771</t>
  </si>
  <si>
    <t>ORD200424</t>
  </si>
  <si>
    <t>C49491</t>
  </si>
  <si>
    <t>TRK64012257</t>
  </si>
  <si>
    <t>ORD200425</t>
  </si>
  <si>
    <t>C40648</t>
  </si>
  <si>
    <t>TRK25325993</t>
  </si>
  <si>
    <t>ORD200426</t>
  </si>
  <si>
    <t>C40967</t>
  </si>
  <si>
    <t>TRK24839296</t>
  </si>
  <si>
    <t>ORD200427</t>
  </si>
  <si>
    <t>C25406</t>
  </si>
  <si>
    <t>TRK70952564</t>
  </si>
  <si>
    <t>ORD200428</t>
  </si>
  <si>
    <t>C77085</t>
  </si>
  <si>
    <t>TRK57227640</t>
  </si>
  <si>
    <t>ORD200429</t>
  </si>
  <si>
    <t>C38126</t>
  </si>
  <si>
    <t>TRK90838498</t>
  </si>
  <si>
    <t>ORD200430</t>
  </si>
  <si>
    <t>C87448</t>
  </si>
  <si>
    <t>TRK44134016</t>
  </si>
  <si>
    <t>ORD200431</t>
  </si>
  <si>
    <t>C62312</t>
  </si>
  <si>
    <t>TRK59623037</t>
  </si>
  <si>
    <t>ORD200432</t>
  </si>
  <si>
    <t>C58443</t>
  </si>
  <si>
    <t>TRK77163738</t>
  </si>
  <si>
    <t>ORD200433</t>
  </si>
  <si>
    <t>C36613</t>
  </si>
  <si>
    <t>TRK13282106</t>
  </si>
  <si>
    <t>ORD200434</t>
  </si>
  <si>
    <t>C73893</t>
  </si>
  <si>
    <t>TRK85939879</t>
  </si>
  <si>
    <t>ORD200435</t>
  </si>
  <si>
    <t>C48601</t>
  </si>
  <si>
    <t>TRK97868309</t>
  </si>
  <si>
    <t>ORD200436</t>
  </si>
  <si>
    <t>C14568</t>
  </si>
  <si>
    <t>TRK73545796</t>
  </si>
  <si>
    <t>ORD200437</t>
  </si>
  <si>
    <t>C63378</t>
  </si>
  <si>
    <t>TRK20863705</t>
  </si>
  <si>
    <t>ORD200438</t>
  </si>
  <si>
    <t>C77800</t>
  </si>
  <si>
    <t>TRK27439574</t>
  </si>
  <si>
    <t>ORD200439</t>
  </si>
  <si>
    <t>C91155</t>
  </si>
  <si>
    <t>TRK36260319</t>
  </si>
  <si>
    <t>ORD200440</t>
  </si>
  <si>
    <t>C60215</t>
  </si>
  <si>
    <t>TRK31727767</t>
  </si>
  <si>
    <t>ORD200441</t>
  </si>
  <si>
    <t>C52915</t>
  </si>
  <si>
    <t>TRK79466982</t>
  </si>
  <si>
    <t>ORD200442</t>
  </si>
  <si>
    <t>C72588</t>
  </si>
  <si>
    <t>TRK43410829</t>
  </si>
  <si>
    <t>ORD200443</t>
  </si>
  <si>
    <t>C61668</t>
  </si>
  <si>
    <t>TRK58970302</t>
  </si>
  <si>
    <t>ORD200444</t>
  </si>
  <si>
    <t>C79508</t>
  </si>
  <si>
    <t>TRK61882353</t>
  </si>
  <si>
    <t>ORD200445</t>
  </si>
  <si>
    <t>C94569</t>
  </si>
  <si>
    <t>TRK31351770</t>
  </si>
  <si>
    <t>ORD200446</t>
  </si>
  <si>
    <t>C89592</t>
  </si>
  <si>
    <t>TRK49442402</t>
  </si>
  <si>
    <t>ORD200447</t>
  </si>
  <si>
    <t>C48207</t>
  </si>
  <si>
    <t>TRK45355655</t>
  </si>
  <si>
    <t>ORD200448</t>
  </si>
  <si>
    <t>C16776</t>
  </si>
  <si>
    <t>TRK12860600</t>
  </si>
  <si>
    <t>ORD200449</t>
  </si>
  <si>
    <t>C91518</t>
  </si>
  <si>
    <t>TRK48688724</t>
  </si>
  <si>
    <t>ORD200450</t>
  </si>
  <si>
    <t>C36408</t>
  </si>
  <si>
    <t>TRK94023253</t>
  </si>
  <si>
    <t>ORD200451</t>
  </si>
  <si>
    <t>C14837</t>
  </si>
  <si>
    <t>TRK17501136</t>
  </si>
  <si>
    <t>ORD200452</t>
  </si>
  <si>
    <t>C36467</t>
  </si>
  <si>
    <t>TRK20863987</t>
  </si>
  <si>
    <t>ORD200453</t>
  </si>
  <si>
    <t>C15017</t>
  </si>
  <si>
    <t>TRK51241924</t>
  </si>
  <si>
    <t>ORD200454</t>
  </si>
  <si>
    <t>C54759</t>
  </si>
  <si>
    <t>TRK75583042</t>
  </si>
  <si>
    <t>ORD200455</t>
  </si>
  <si>
    <t>C58341</t>
  </si>
  <si>
    <t>TRK32856728</t>
  </si>
  <si>
    <t>ORD200456</t>
  </si>
  <si>
    <t>C94479</t>
  </si>
  <si>
    <t>TRK69089975</t>
  </si>
  <si>
    <t>ORD200457</t>
  </si>
  <si>
    <t>C50236</t>
  </si>
  <si>
    <t>TRK67692578</t>
  </si>
  <si>
    <t>ORD200458</t>
  </si>
  <si>
    <t>C31412</t>
  </si>
  <si>
    <t>TRK61946127</t>
  </si>
  <si>
    <t>ORD200459</t>
  </si>
  <si>
    <t>C90142</t>
  </si>
  <si>
    <t>TRK39717191</t>
  </si>
  <si>
    <t>ORD200460</t>
  </si>
  <si>
    <t>C83548</t>
  </si>
  <si>
    <t>TRK93822942</t>
  </si>
  <si>
    <t>ORD200461</t>
  </si>
  <si>
    <t>C29697</t>
  </si>
  <si>
    <t>TRK47776482</t>
  </si>
  <si>
    <t>ORD200462</t>
  </si>
  <si>
    <t>C22991</t>
  </si>
  <si>
    <t>TRK32796086</t>
  </si>
  <si>
    <t>ORD200463</t>
  </si>
  <si>
    <t>C25276</t>
  </si>
  <si>
    <t>TRK14011732</t>
  </si>
  <si>
    <t>ORD200464</t>
  </si>
  <si>
    <t>C39176</t>
  </si>
  <si>
    <t>TRK71418686</t>
  </si>
  <si>
    <t>ORD200465</t>
  </si>
  <si>
    <t>C58773</t>
  </si>
  <si>
    <t>TRK65438300</t>
  </si>
  <si>
    <t>ORD200466</t>
  </si>
  <si>
    <t>C37412</t>
  </si>
  <si>
    <t>TRK97829604</t>
  </si>
  <si>
    <t>ORD200467</t>
  </si>
  <si>
    <t>C36492</t>
  </si>
  <si>
    <t>TRK44350440</t>
  </si>
  <si>
    <t>ORD200468</t>
  </si>
  <si>
    <t>C90110</t>
  </si>
  <si>
    <t>TRK60203957</t>
  </si>
  <si>
    <t>ORD200469</t>
  </si>
  <si>
    <t>C13877</t>
  </si>
  <si>
    <t>TRK17254691</t>
  </si>
  <si>
    <t>ORD200470</t>
  </si>
  <si>
    <t>C25149</t>
  </si>
  <si>
    <t>TRK33538608</t>
  </si>
  <si>
    <t>ORD200471</t>
  </si>
  <si>
    <t>C52717</t>
  </si>
  <si>
    <t>TRK27625571</t>
  </si>
  <si>
    <t>ORD200472</t>
  </si>
  <si>
    <t>C60029</t>
  </si>
  <si>
    <t>TRK86461316</t>
  </si>
  <si>
    <t>ORD200473</t>
  </si>
  <si>
    <t>C28552</t>
  </si>
  <si>
    <t>TRK71597160</t>
  </si>
  <si>
    <t>ORD200474</t>
  </si>
  <si>
    <t>C72293</t>
  </si>
  <si>
    <t>TRK84378003</t>
  </si>
  <si>
    <t>ORD200475</t>
  </si>
  <si>
    <t>C29844</t>
  </si>
  <si>
    <t>TRK91642337</t>
  </si>
  <si>
    <t>ORD200476</t>
  </si>
  <si>
    <t>C77872</t>
  </si>
  <si>
    <t>TRK19292184</t>
  </si>
  <si>
    <t>ORD200477</t>
  </si>
  <si>
    <t>C56564</t>
  </si>
  <si>
    <t>TRK13166044</t>
  </si>
  <si>
    <t>ORD200478</t>
  </si>
  <si>
    <t>C16758</t>
  </si>
  <si>
    <t>TRK88544431</t>
  </si>
  <si>
    <t>ORD200479</t>
  </si>
  <si>
    <t>C87011</t>
  </si>
  <si>
    <t>TRK21429162</t>
  </si>
  <si>
    <t>ORD200480</t>
  </si>
  <si>
    <t>C21147</t>
  </si>
  <si>
    <t>TRK93171043</t>
  </si>
  <si>
    <t>ORD200481</t>
  </si>
  <si>
    <t>C94568</t>
  </si>
  <si>
    <t>TRK58653915</t>
  </si>
  <si>
    <t>ORD200482</t>
  </si>
  <si>
    <t>C35852</t>
  </si>
  <si>
    <t>TRK22302049</t>
  </si>
  <si>
    <t>ORD200483</t>
  </si>
  <si>
    <t>C66462</t>
  </si>
  <si>
    <t>TRK52743700</t>
  </si>
  <si>
    <t>ORD200484</t>
  </si>
  <si>
    <t>C29092</t>
  </si>
  <si>
    <t>TRK90455340</t>
  </si>
  <si>
    <t>ORD200485</t>
  </si>
  <si>
    <t>C46651</t>
  </si>
  <si>
    <t>TRK67679195</t>
  </si>
  <si>
    <t>ORD200486</t>
  </si>
  <si>
    <t>C88981</t>
  </si>
  <si>
    <t>TRK75267873</t>
  </si>
  <si>
    <t>ORD200487</t>
  </si>
  <si>
    <t>C40136</t>
  </si>
  <si>
    <t>TRK92924852</t>
  </si>
  <si>
    <t>ORD200488</t>
  </si>
  <si>
    <t>C81573</t>
  </si>
  <si>
    <t>TRK96522994</t>
  </si>
  <si>
    <t>ORD200489</t>
  </si>
  <si>
    <t>C11940</t>
  </si>
  <si>
    <t>TRK85466461</t>
  </si>
  <si>
    <t>ORD200490</t>
  </si>
  <si>
    <t>C50097</t>
  </si>
  <si>
    <t>TRK62785150</t>
  </si>
  <si>
    <t>ORD200491</t>
  </si>
  <si>
    <t>C98168</t>
  </si>
  <si>
    <t>TRK56423359</t>
  </si>
  <si>
    <t>ORD200492</t>
  </si>
  <si>
    <t>C39074</t>
  </si>
  <si>
    <t>TRK13027036</t>
  </si>
  <si>
    <t>ORD200493</t>
  </si>
  <si>
    <t>C84908</t>
  </si>
  <si>
    <t>TRK64135970</t>
  </si>
  <si>
    <t>ORD200494</t>
  </si>
  <si>
    <t>C64516</t>
  </si>
  <si>
    <t>TRK63920573</t>
  </si>
  <si>
    <t>ORD200495</t>
  </si>
  <si>
    <t>C63827</t>
  </si>
  <si>
    <t>TRK35730581</t>
  </si>
  <si>
    <t>ORD200496</t>
  </si>
  <si>
    <t>C93618</t>
  </si>
  <si>
    <t>TRK66129326</t>
  </si>
  <si>
    <t>ORD200497</t>
  </si>
  <si>
    <t>C93948</t>
  </si>
  <si>
    <t>TRK77358113</t>
  </si>
  <si>
    <t>ORD200498</t>
  </si>
  <si>
    <t>C73961</t>
  </si>
  <si>
    <t>TRK32607173</t>
  </si>
  <si>
    <t>ORD200499</t>
  </si>
  <si>
    <t>C18138</t>
  </si>
  <si>
    <t>TRK20289483</t>
  </si>
  <si>
    <t>ORD200500</t>
  </si>
  <si>
    <t>C79475</t>
  </si>
  <si>
    <t>TRK42168516</t>
  </si>
  <si>
    <t>ORD200501</t>
  </si>
  <si>
    <t>C88546</t>
  </si>
  <si>
    <t>TRK19867754</t>
  </si>
  <si>
    <t>ORD200502</t>
  </si>
  <si>
    <t>C69332</t>
  </si>
  <si>
    <t>TRK65718848</t>
  </si>
  <si>
    <t>ORD200503</t>
  </si>
  <si>
    <t>C64554</t>
  </si>
  <si>
    <t>TRK95384568</t>
  </si>
  <si>
    <t>ORD200504</t>
  </si>
  <si>
    <t>C11676</t>
  </si>
  <si>
    <t>TRK35726395</t>
  </si>
  <si>
    <t>ORD200505</t>
  </si>
  <si>
    <t>C36014</t>
  </si>
  <si>
    <t>TRK97246526</t>
  </si>
  <si>
    <t>ORD200506</t>
  </si>
  <si>
    <t>C23279</t>
  </si>
  <si>
    <t>TRK58039693</t>
  </si>
  <si>
    <t>ORD200507</t>
  </si>
  <si>
    <t>C86481</t>
  </si>
  <si>
    <t>TRK87513944</t>
  </si>
  <si>
    <t>ORD200508</t>
  </si>
  <si>
    <t>C39550</t>
  </si>
  <si>
    <t>TRK24120267</t>
  </si>
  <si>
    <t>ORD200509</t>
  </si>
  <si>
    <t>C68937</t>
  </si>
  <si>
    <t>TRK31908657</t>
  </si>
  <si>
    <t>ORD200510</t>
  </si>
  <si>
    <t>C72533</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</si>
  <si>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</si>
  <si>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</si>
  <si>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</si>
  <si>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</si>
  <si>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</si>
  <si>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</si>
  <si>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</si>
  <si>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</si>
  <si>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</si>
  <si>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</si>
  <si>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</si>
  <si>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</si>
  <si>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</si>
  <si>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</si>
  <si>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</si>
  <si>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</si>
  <si>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</si>
  <si>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</si>
  <si>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</si>
  <si>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</si>
  <si>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</si>
  <si>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</si>
  <si>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</si>
  <si>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</si>
  <si>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</si>
  <si>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</si>
  <si>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</si>
  <si>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TRK66010667</t>
  </si>
  <si>
    <t>ORD200520</t>
  </si>
  <si>
    <t>C66332</t>
  </si>
  <si>
    <t>TRK27063398</t>
  </si>
  <si>
    <t>ORD200521</t>
  </si>
  <si>
    <t>C82318</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</si>
  <si>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</si>
  <si>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</si>
  <si>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</si>
  <si>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</si>
  <si>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</si>
  <si>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</si>
  <si>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</si>
  <si>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</si>
  <si>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</si>
  <si>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</si>
  <si>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</si>
  <si>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</si>
  <si>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</si>
  <si>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</si>
  <si>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</si>
  <si>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</si>
  <si>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</si>
  <si>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</si>
  <si>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</si>
  <si>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</si>
  <si>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</si>
  <si>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</si>
  <si>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</si>
  <si>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</si>
  <si>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TRK50363421</t>
  </si>
  <si>
    <t>ORD200530</t>
  </si>
  <si>
    <t>C98450</t>
  </si>
  <si>
    <t>TRK14809530</t>
  </si>
  <si>
    <t>ORD200531</t>
  </si>
  <si>
    <t>C64502</t>
  </si>
  <si>
    <t>TRK14914388</t>
  </si>
  <si>
    <t>ORD200532</t>
  </si>
  <si>
    <t>C47365</t>
  </si>
  <si>
    <t>TRK42207882</t>
  </si>
  <si>
    <t>ORD200533</t>
  </si>
  <si>
    <t>C66349</t>
  </si>
  <si>
    <t>TRK63550793</t>
  </si>
  <si>
    <t>ORD200534</t>
  </si>
  <si>
    <t>C73289</t>
  </si>
  <si>
    <t>TRK70872738</t>
  </si>
  <si>
    <t>ORD200535</t>
  </si>
  <si>
    <t>C48649</t>
  </si>
  <si>
    <t>TRK45821445</t>
  </si>
  <si>
    <t>ORD200536</t>
  </si>
  <si>
    <t>C18724</t>
  </si>
  <si>
    <t>TRK52508861</t>
  </si>
  <si>
    <t>ORD200537</t>
  </si>
  <si>
    <t>C68553</t>
  </si>
  <si>
    <t>TRK58218971</t>
  </si>
  <si>
    <t>ORD200538</t>
  </si>
  <si>
    <t>C61280</t>
  </si>
  <si>
    <t>TRK95487711</t>
  </si>
  <si>
    <t>ORD200539</t>
  </si>
  <si>
    <t>C53277</t>
  </si>
  <si>
    <t>TRK17653832</t>
  </si>
  <si>
    <t>ORD200540</t>
  </si>
  <si>
    <t>C87281</t>
  </si>
  <si>
    <t>TRK81765057</t>
  </si>
  <si>
    <t>ORD200541</t>
  </si>
  <si>
    <t>C69009</t>
  </si>
  <si>
    <t>TRK61295842</t>
  </si>
  <si>
    <t>ORD200542</t>
  </si>
  <si>
    <t>C49726</t>
  </si>
  <si>
    <t>TRK20739460</t>
  </si>
  <si>
    <t>ORD200543</t>
  </si>
  <si>
    <t>C37531</t>
  </si>
  <si>
    <t>TRK93877673</t>
  </si>
  <si>
    <t>ORD200544</t>
  </si>
  <si>
    <t>C48713</t>
  </si>
  <si>
    <t>TRK96334419</t>
  </si>
  <si>
    <t>ORD200545</t>
  </si>
  <si>
    <t>C74138</t>
  </si>
  <si>
    <t>TRK74091695</t>
  </si>
  <si>
    <t>ORD200546</t>
  </si>
  <si>
    <t>C82399</t>
  </si>
  <si>
    <t>TRK77177284</t>
  </si>
  <si>
    <t>ORD200547</t>
  </si>
  <si>
    <t>C40427</t>
  </si>
  <si>
    <t>TRK25392280</t>
  </si>
  <si>
    <t>ORD200548</t>
  </si>
  <si>
    <t>C17103</t>
  </si>
  <si>
    <t>TRK64398650</t>
  </si>
  <si>
    <t>ORD200549</t>
  </si>
  <si>
    <t>C34266</t>
  </si>
  <si>
    <t>TRK56378197</t>
  </si>
  <si>
    <t>ORD200550</t>
  </si>
  <si>
    <t>C97485</t>
  </si>
  <si>
    <t>TRK81794737</t>
  </si>
  <si>
    <t>ORD200551</t>
  </si>
  <si>
    <t>C23947</t>
  </si>
  <si>
    <t>TRK74812710</t>
  </si>
  <si>
    <t>ORD200552</t>
  </si>
  <si>
    <t>C21665</t>
  </si>
  <si>
    <t>TRK29890761</t>
  </si>
  <si>
    <t>ORD200553</t>
  </si>
  <si>
    <t>C82550</t>
  </si>
  <si>
    <t>TRK74103758</t>
  </si>
  <si>
    <t>ORD200554</t>
  </si>
  <si>
    <t>C61943</t>
  </si>
  <si>
    <t>TRK66126496</t>
  </si>
  <si>
    <t>ORD200555</t>
  </si>
  <si>
    <t>C88933</t>
  </si>
  <si>
    <t>TRK89306964</t>
  </si>
  <si>
    <t>ORD200556</t>
  </si>
  <si>
    <t>C30923</t>
  </si>
  <si>
    <t>TRK82609328</t>
  </si>
  <si>
    <t>ORD200557</t>
  </si>
  <si>
    <t>C56969</t>
  </si>
  <si>
    <t>TRK40719215</t>
  </si>
  <si>
    <t>ORD200558</t>
  </si>
  <si>
    <t>C76766</t>
  </si>
  <si>
    <t>TRK32052962</t>
  </si>
  <si>
    <t>ORD200559</t>
  </si>
  <si>
    <t>C22981</t>
  </si>
  <si>
    <t>TRK10115285</t>
  </si>
  <si>
    <t>ORD200560</t>
  </si>
  <si>
    <t>C33634</t>
  </si>
  <si>
    <t>TRK93168008</t>
  </si>
  <si>
    <t>ORD200561</t>
  </si>
  <si>
    <t>C96822</t>
  </si>
  <si>
    <t>TRK89180077</t>
  </si>
  <si>
    <t>ORD200562</t>
  </si>
  <si>
    <t>C76675</t>
  </si>
  <si>
    <t>TRK28043915</t>
  </si>
  <si>
    <t>ORD200563</t>
  </si>
  <si>
    <t>C12039</t>
  </si>
  <si>
    <t>TRK68645763</t>
  </si>
  <si>
    <t>ORD200564</t>
  </si>
  <si>
    <t>C93309</t>
  </si>
  <si>
    <t>TRK99446987</t>
  </si>
  <si>
    <t>ORD200565</t>
  </si>
  <si>
    <t>C62042</t>
  </si>
  <si>
    <t>TRK42605492</t>
  </si>
  <si>
    <t>ORD200566</t>
  </si>
  <si>
    <t>C83223</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</si>
  <si>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</si>
  <si>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</si>
  <si>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</si>
  <si>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</si>
  <si>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</si>
  <si>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</si>
  <si>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</si>
  <si>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</si>
  <si>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</si>
  <si>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</si>
  <si>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</si>
  <si>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</si>
  <si>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</si>
  <si>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</si>
  <si>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</si>
  <si>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</si>
  <si>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</si>
  <si>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</si>
  <si>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</si>
  <si>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</si>
  <si>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</si>
  <si>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</si>
  <si>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</si>
  <si>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</si>
  <si>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</si>
  <si>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</si>
  <si>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</si>
  <si>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TRK61640534</t>
  </si>
  <si>
    <t>ORD200576</t>
  </si>
  <si>
    <t>C14457</t>
  </si>
  <si>
    <t>TRK42517811</t>
  </si>
  <si>
    <t>ORD200577</t>
  </si>
  <si>
    <t>C77046</t>
  </si>
  <si>
    <t>TRK44401497</t>
  </si>
  <si>
    <t>ORD200578</t>
  </si>
  <si>
    <t>C50415</t>
  </si>
  <si>
    <t>TRK41345634</t>
  </si>
  <si>
    <t>ORD200579</t>
  </si>
  <si>
    <t>C73999</t>
  </si>
  <si>
    <t>TRK67919507</t>
  </si>
  <si>
    <t>ORD200580</t>
  </si>
  <si>
    <t>C71076</t>
  </si>
  <si>
    <t>TRK65148292</t>
  </si>
  <si>
    <t>ORD200581</t>
  </si>
  <si>
    <t>C44674</t>
  </si>
  <si>
    <t>TRK87158684</t>
  </si>
  <si>
    <t>ORD200582</t>
  </si>
  <si>
    <t>C15228</t>
  </si>
  <si>
    <t>TRK33860620</t>
  </si>
  <si>
    <t>ORD200583</t>
  </si>
  <si>
    <t>C27072</t>
  </si>
  <si>
    <t>TRK29750379</t>
  </si>
  <si>
    <t>ORD200584</t>
  </si>
  <si>
    <t>C15257</t>
  </si>
  <si>
    <t>TRK28779938</t>
  </si>
  <si>
    <t>ORD200585</t>
  </si>
  <si>
    <t>C91486</t>
  </si>
  <si>
    <t>TRK79617136</t>
  </si>
  <si>
    <t>ORD200586</t>
  </si>
  <si>
    <t>C17389</t>
  </si>
  <si>
    <t>TRK98857880</t>
  </si>
  <si>
    <t>ORD200587</t>
  </si>
  <si>
    <t>C18820</t>
  </si>
  <si>
    <t>TRK91547425</t>
  </si>
  <si>
    <t>ORD200588</t>
  </si>
  <si>
    <t>C61849</t>
  </si>
  <si>
    <t>TRK47613918</t>
  </si>
  <si>
    <t>ORD200589</t>
  </si>
  <si>
    <t>C84041</t>
  </si>
  <si>
    <t>TRK84920444</t>
  </si>
  <si>
    <t>ORD200590</t>
  </si>
  <si>
    <t>C55757</t>
  </si>
  <si>
    <t>TRK27356242</t>
  </si>
  <si>
    <t>ORD200591</t>
  </si>
  <si>
    <t>C18187</t>
  </si>
  <si>
    <t>TRK50528185</t>
  </si>
  <si>
    <t>ORD200592</t>
  </si>
  <si>
    <t>C42306</t>
  </si>
  <si>
    <t>TRK15499648</t>
  </si>
  <si>
    <t>ORD200593</t>
  </si>
  <si>
    <t>C51024</t>
  </si>
  <si>
    <t>TRK31375086</t>
  </si>
  <si>
    <t>ORD200594</t>
  </si>
  <si>
    <t>C40140</t>
  </si>
  <si>
    <t>TRK12671989</t>
  </si>
  <si>
    <t>ORD200595</t>
  </si>
  <si>
    <t>C72596</t>
  </si>
  <si>
    <t>TRK83870446</t>
  </si>
  <si>
    <t>ORD200596</t>
  </si>
  <si>
    <t>C91805</t>
  </si>
  <si>
    <t>TRK34504030</t>
  </si>
  <si>
    <t>ORD200597</t>
  </si>
  <si>
    <t>C40538</t>
  </si>
  <si>
    <t>TRK29821356</t>
  </si>
  <si>
    <t>ORD200598</t>
  </si>
  <si>
    <t>C60329</t>
  </si>
  <si>
    <t>TRK59069987</t>
  </si>
  <si>
    <t>ORD200599</t>
  </si>
  <si>
    <t>C28740</t>
  </si>
  <si>
    <t>TRK33642221</t>
  </si>
  <si>
    <t>ORD200600</t>
  </si>
  <si>
    <t>C87051</t>
  </si>
  <si>
    <t>TRK82056333</t>
  </si>
  <si>
    <t>ORD200601</t>
  </si>
  <si>
    <t>C12479</t>
  </si>
  <si>
    <t>TRK73935314</t>
  </si>
  <si>
    <t>ORD200602</t>
  </si>
  <si>
    <t>TRK64660134</t>
  </si>
  <si>
    <t>ORD200603</t>
  </si>
  <si>
    <t>C26223</t>
  </si>
  <si>
    <t>TRK50900547</t>
  </si>
  <si>
    <t>ORD200604</t>
  </si>
  <si>
    <t>C99214</t>
  </si>
  <si>
    <t>TRK81368481</t>
  </si>
  <si>
    <t>ORD200605</t>
  </si>
  <si>
    <t>C49605</t>
  </si>
  <si>
    <t>TRK95620066</t>
  </si>
  <si>
    <t>ORD200606</t>
  </si>
  <si>
    <t>C85018</t>
  </si>
  <si>
    <t>TRK54128886</t>
  </si>
  <si>
    <t>ORD200607</t>
  </si>
  <si>
    <t>C96434</t>
  </si>
  <si>
    <t>TRK56730647</t>
  </si>
  <si>
    <t>ORD200608</t>
  </si>
  <si>
    <t>C32956</t>
  </si>
  <si>
    <t>TRK73140103</t>
  </si>
  <si>
    <t>ORD200609</t>
  </si>
  <si>
    <t>C41137</t>
  </si>
  <si>
    <t>TRK52732162</t>
  </si>
  <si>
    <t>ORD200610</t>
  </si>
  <si>
    <t>C60361</t>
  </si>
  <si>
    <t>TRK83566924</t>
  </si>
  <si>
    <t>ORD200611</t>
  </si>
  <si>
    <t>C36688</t>
  </si>
  <si>
    <t>TRK35720426</t>
  </si>
  <si>
    <t>ORD200612</t>
  </si>
  <si>
    <t>C51811</t>
  </si>
  <si>
    <t>TRK82377939</t>
  </si>
  <si>
    <t>ORD200613</t>
  </si>
  <si>
    <t>C62405</t>
  </si>
  <si>
    <t>TRK14721763</t>
  </si>
  <si>
    <t>ORD200614</t>
  </si>
  <si>
    <t>C77363</t>
  </si>
  <si>
    <t>TRK12439827</t>
  </si>
  <si>
    <t>ORD200615</t>
  </si>
  <si>
    <t>C97218</t>
  </si>
  <si>
    <t>TRK52632065</t>
  </si>
  <si>
    <t>ORD200616</t>
  </si>
  <si>
    <t>C43919</t>
  </si>
  <si>
    <t>TRK73113192</t>
  </si>
  <si>
    <t>ORD200617</t>
  </si>
  <si>
    <t>C57093</t>
  </si>
  <si>
    <t>TRK75469057</t>
  </si>
  <si>
    <t>ORD200618</t>
  </si>
  <si>
    <t>C50565</t>
  </si>
  <si>
    <t>TRK97981418</t>
  </si>
  <si>
    <t>ORD200619</t>
  </si>
  <si>
    <t>C38845</t>
  </si>
  <si>
    <t>TRK47637374</t>
  </si>
  <si>
    <t>ORD200620</t>
  </si>
  <si>
    <t>C84834</t>
  </si>
  <si>
    <t>TRK90136001</t>
  </si>
  <si>
    <t>ORD200621</t>
  </si>
  <si>
    <t>C37455</t>
  </si>
  <si>
    <t>TRK82685594</t>
  </si>
  <si>
    <t>ORD200622</t>
  </si>
  <si>
    <t>C27078</t>
  </si>
  <si>
    <t>TRK89314307</t>
  </si>
  <si>
    <t>ORD200623</t>
  </si>
  <si>
    <t>C91941</t>
  </si>
  <si>
    <t>TRK21330732</t>
  </si>
  <si>
    <t>ORD200624</t>
  </si>
  <si>
    <t>C25967</t>
  </si>
  <si>
    <t>TRK88559278</t>
  </si>
  <si>
    <t>ORD200625</t>
  </si>
  <si>
    <t>C22123</t>
  </si>
  <si>
    <t>TRK43250279</t>
  </si>
  <si>
    <t>ORD200626</t>
  </si>
  <si>
    <t>C45671</t>
  </si>
  <si>
    <t>TRK18179773</t>
  </si>
  <si>
    <t>ORD200627</t>
  </si>
  <si>
    <t>C53334</t>
  </si>
  <si>
    <t>TRK31724421</t>
  </si>
  <si>
    <t>ORD200628</t>
  </si>
  <si>
    <t>C18717</t>
  </si>
  <si>
    <t>TRK58568806</t>
  </si>
  <si>
    <t>ORD200629</t>
  </si>
  <si>
    <t>C50137</t>
  </si>
  <si>
    <t>TRK91836131</t>
  </si>
  <si>
    <t>ORD200630</t>
  </si>
  <si>
    <t>C51481</t>
  </si>
  <si>
    <t>TRK33437701</t>
  </si>
  <si>
    <t>ORD200631</t>
  </si>
  <si>
    <t>C99128</t>
  </si>
  <si>
    <t>TRK32426808</t>
  </si>
  <si>
    <t>ORD200632</t>
  </si>
  <si>
    <t>C67260</t>
  </si>
  <si>
    <t>TRK38229104</t>
  </si>
  <si>
    <t>ORD200633</t>
  </si>
  <si>
    <t>C79533</t>
  </si>
  <si>
    <t>TRK54711422</t>
  </si>
  <si>
    <t>ORD200634</t>
  </si>
  <si>
    <t>C66906</t>
  </si>
  <si>
    <t>TRK31633755</t>
  </si>
  <si>
    <t>ORD200635</t>
  </si>
  <si>
    <t>C12818</t>
  </si>
  <si>
    <t>TRK40879983</t>
  </si>
  <si>
    <t>ORD200636</t>
  </si>
  <si>
    <t>C60384</t>
  </si>
  <si>
    <t>TRK92080037</t>
  </si>
  <si>
    <t>ORD200637</t>
  </si>
  <si>
    <t>C92294</t>
  </si>
  <si>
    <t>TRK23585765</t>
  </si>
  <si>
    <t>ORD200638</t>
  </si>
  <si>
    <t>C66840</t>
  </si>
  <si>
    <t>TRK76929637</t>
  </si>
  <si>
    <t>ORD200639</t>
  </si>
  <si>
    <t>C22534</t>
  </si>
  <si>
    <t>TRK17415798</t>
  </si>
  <si>
    <t>ORD200640</t>
  </si>
  <si>
    <t>C46509</t>
  </si>
  <si>
    <t>TRK24241664</t>
  </si>
  <si>
    <t>ORD200641</t>
  </si>
  <si>
    <t>C71680</t>
  </si>
  <si>
    <t>TRK47386650</t>
  </si>
  <si>
    <t>ORD200642</t>
  </si>
  <si>
    <t>C15063</t>
  </si>
  <si>
    <t>TRK10329390</t>
  </si>
  <si>
    <t>ORD200643</t>
  </si>
  <si>
    <t>C77122</t>
  </si>
  <si>
    <t>TRK75814880</t>
  </si>
  <si>
    <t>ORD200644</t>
  </si>
  <si>
    <t>C86524</t>
  </si>
  <si>
    <t>TRK62490506</t>
  </si>
  <si>
    <t>ORD200645</t>
  </si>
  <si>
    <t>C82990</t>
  </si>
  <si>
    <t>TRK68574801</t>
  </si>
  <si>
    <t>ORD200646</t>
  </si>
  <si>
    <t>C98761</t>
  </si>
  <si>
    <t>TRK43262630</t>
  </si>
  <si>
    <t>ORD200647</t>
  </si>
  <si>
    <t>C54409</t>
  </si>
  <si>
    <t>TRK67671316</t>
  </si>
  <si>
    <t>ORD200648</t>
  </si>
  <si>
    <t>C89674</t>
  </si>
  <si>
    <t>TRK45902512</t>
  </si>
  <si>
    <t>ORD200649</t>
  </si>
  <si>
    <t>C45899</t>
  </si>
  <si>
    <t>TRK32932093</t>
  </si>
  <si>
    <t>ORD200650</t>
  </si>
  <si>
    <t>C74499</t>
  </si>
  <si>
    <t>TRK93767278</t>
  </si>
  <si>
    <t>ORD200651</t>
  </si>
  <si>
    <t>C81192</t>
  </si>
  <si>
    <t>TRK76931118</t>
  </si>
  <si>
    <t>ORD200652</t>
  </si>
  <si>
    <t>C71473</t>
  </si>
  <si>
    <t>TRK94857335</t>
  </si>
  <si>
    <t>ORD200653</t>
  </si>
  <si>
    <t>C59338</t>
  </si>
  <si>
    <t>TRK12902764</t>
  </si>
  <si>
    <t>ORD200654</t>
  </si>
  <si>
    <t>C62661</t>
  </si>
  <si>
    <t>TRK25748100</t>
  </si>
  <si>
    <t>ORD200655</t>
  </si>
  <si>
    <t>C22101</t>
  </si>
  <si>
    <t>TRK70711522</t>
  </si>
  <si>
    <t>ORD200656</t>
  </si>
  <si>
    <t>C51404</t>
  </si>
  <si>
    <t>TRK85682500</t>
  </si>
  <si>
    <t>ORD200657</t>
  </si>
  <si>
    <t>C19384</t>
  </si>
  <si>
    <t>TRK33207064</t>
  </si>
  <si>
    <t>ORD200658</t>
  </si>
  <si>
    <t>C86864</t>
  </si>
  <si>
    <t>TRK15323191</t>
  </si>
  <si>
    <t>ORD200659</t>
  </si>
  <si>
    <t>C24301</t>
  </si>
  <si>
    <t>TRK55000075</t>
  </si>
  <si>
    <t>ORD200660</t>
  </si>
  <si>
    <t>C43842</t>
  </si>
  <si>
    <t>TRK54084424</t>
  </si>
  <si>
    <t>ORD200661</t>
  </si>
  <si>
    <t>C63657</t>
  </si>
  <si>
    <t>TRK86378984</t>
  </si>
  <si>
    <t>ORD200662</t>
  </si>
  <si>
    <t>C98332</t>
  </si>
  <si>
    <t>TRK85744797</t>
  </si>
  <si>
    <t>ORD200663</t>
  </si>
  <si>
    <t>C59774</t>
  </si>
  <si>
    <t>TRK87635135</t>
  </si>
  <si>
    <t>ORD200664</t>
  </si>
  <si>
    <t>TRK46492755</t>
  </si>
  <si>
    <t>ORD200665</t>
  </si>
  <si>
    <t>C83653</t>
  </si>
  <si>
    <t>TRK32619935</t>
  </si>
  <si>
    <t>ORD200666</t>
  </si>
  <si>
    <t>C35711</t>
  </si>
  <si>
    <t>TRK45281495</t>
  </si>
  <si>
    <t>ORD200667</t>
  </si>
  <si>
    <t>C10477</t>
  </si>
  <si>
    <t>TRK41505339</t>
  </si>
  <si>
    <t>ORD200668</t>
  </si>
  <si>
    <t>C61257</t>
  </si>
  <si>
    <t>TRK25226070</t>
  </si>
  <si>
    <t>ORD200669</t>
  </si>
  <si>
    <t>C60547</t>
  </si>
  <si>
    <t>TRK65694249</t>
  </si>
  <si>
    <t>ORD200670</t>
  </si>
  <si>
    <t>C14576</t>
  </si>
  <si>
    <t>TRK21637540</t>
  </si>
  <si>
    <t>ORD200671</t>
  </si>
  <si>
    <t>C49282</t>
  </si>
  <si>
    <t>TRK88653901</t>
  </si>
  <si>
    <t>ORD200672</t>
  </si>
  <si>
    <t>C14017</t>
  </si>
  <si>
    <t>TRK71009446</t>
  </si>
  <si>
    <t>ORD200673</t>
  </si>
  <si>
    <t>C46504</t>
  </si>
  <si>
    <t>TRK95024356</t>
  </si>
  <si>
    <t>ORD200674</t>
  </si>
  <si>
    <t>C56928</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</si>
  <si>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</si>
  <si>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</si>
  <si>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</si>
  <si>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</si>
  <si>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</si>
  <si>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</si>
  <si>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</si>
  <si>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</si>
  <si>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</si>
  <si>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</si>
  <si>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</si>
  <si>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</si>
  <si>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</si>
  <si>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</si>
  <si>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</si>
  <si>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</si>
  <si>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</si>
  <si>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</si>
  <si>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TRK16953491</t>
  </si>
  <si>
    <t>ORD200681</t>
  </si>
  <si>
    <t>C38262</t>
  </si>
  <si>
    <t>TRK47300502</t>
  </si>
  <si>
    <t>ORD200682</t>
  </si>
  <si>
    <t>C50274</t>
  </si>
  <si>
    <t>TRK91729086</t>
  </si>
  <si>
    <t>ORD200683</t>
  </si>
  <si>
    <t>C91591</t>
  </si>
  <si>
    <t>TRK23554043</t>
  </si>
  <si>
    <t>ORD200684</t>
  </si>
  <si>
    <t>C96583</t>
  </si>
  <si>
    <t>TRK64353241</t>
  </si>
  <si>
    <t>ORD200685</t>
  </si>
  <si>
    <t>C64579</t>
  </si>
  <si>
    <t>TRK10276565</t>
  </si>
  <si>
    <t>ORD200686</t>
  </si>
  <si>
    <t>C41903</t>
  </si>
  <si>
    <t>TRK59112382</t>
  </si>
  <si>
    <t>ORD200687</t>
  </si>
  <si>
    <t>C19742</t>
  </si>
  <si>
    <t>TRK68845230</t>
  </si>
  <si>
    <t>ORD200688</t>
  </si>
  <si>
    <t>C20077</t>
  </si>
  <si>
    <t>TRK36415742</t>
  </si>
  <si>
    <t>ORD200689</t>
  </si>
  <si>
    <t>C13186</t>
  </si>
  <si>
    <t>TRK56967415</t>
  </si>
  <si>
    <t>ORD200690</t>
  </si>
  <si>
    <t>C29318</t>
  </si>
  <si>
    <t>TRK88666721</t>
  </si>
  <si>
    <t>ORD200691</t>
  </si>
  <si>
    <t>C36137</t>
  </si>
  <si>
    <t>TRK57376416</t>
  </si>
  <si>
    <t>ORD200692</t>
  </si>
  <si>
    <t>C25534</t>
  </si>
  <si>
    <t>TRK68347402</t>
  </si>
  <si>
    <t>ORD200693</t>
  </si>
  <si>
    <t>C62070</t>
  </si>
  <si>
    <t>TRK10267127</t>
  </si>
  <si>
    <t>ORD200694</t>
  </si>
  <si>
    <t>C92049</t>
  </si>
  <si>
    <t>TRK32287092</t>
  </si>
  <si>
    <t>ORD200695</t>
  </si>
  <si>
    <t>C52604</t>
  </si>
  <si>
    <t>TRK48839788</t>
  </si>
  <si>
    <t>ORD200696</t>
  </si>
  <si>
    <t>C22429</t>
  </si>
  <si>
    <t>TRK38572927</t>
  </si>
  <si>
    <t>ORD200697</t>
  </si>
  <si>
    <t>C27430</t>
  </si>
  <si>
    <t>TRK45025840</t>
  </si>
  <si>
    <t>ORD200698</t>
  </si>
  <si>
    <t>C44366</t>
  </si>
  <si>
    <t>TRK48658394</t>
  </si>
  <si>
    <t>ORD200699</t>
  </si>
  <si>
    <t>C36813</t>
  </si>
  <si>
    <t>TRK84088900</t>
  </si>
  <si>
    <t>ORD200700</t>
  </si>
  <si>
    <t>C40201</t>
  </si>
  <si>
    <t>TRK30198779</t>
  </si>
  <si>
    <t>ORD200701</t>
  </si>
  <si>
    <t>C75456</t>
  </si>
  <si>
    <t>TRK90519490</t>
  </si>
  <si>
    <t>ORD200702</t>
  </si>
  <si>
    <t>C33315</t>
  </si>
  <si>
    <t>TRK43589369</t>
  </si>
  <si>
    <t>ORD200703</t>
  </si>
  <si>
    <t>C89336</t>
  </si>
  <si>
    <t>TRK47665103</t>
  </si>
  <si>
    <t>ORD200704</t>
  </si>
  <si>
    <t>C96034</t>
  </si>
  <si>
    <t>TRK87261034</t>
  </si>
  <si>
    <t>ORD200705</t>
  </si>
  <si>
    <t>C50114</t>
  </si>
  <si>
    <t>TRK20214786</t>
  </si>
  <si>
    <t>ORD200706</t>
  </si>
  <si>
    <t>C85330</t>
  </si>
  <si>
    <t>TRK97693301</t>
  </si>
  <si>
    <t>ORD200707</t>
  </si>
  <si>
    <t>C31761</t>
  </si>
  <si>
    <t>TRK17628852</t>
  </si>
  <si>
    <t>ORD200708</t>
  </si>
  <si>
    <t>C25268</t>
  </si>
  <si>
    <t>TRK20481215</t>
  </si>
  <si>
    <t>ORD200709</t>
  </si>
  <si>
    <t>C17132</t>
  </si>
  <si>
    <t>TRK37504692</t>
  </si>
  <si>
    <t>ORD200710</t>
  </si>
  <si>
    <t>C48790</t>
  </si>
  <si>
    <t>TRK19086608</t>
  </si>
  <si>
    <t>ORD200711</t>
  </si>
  <si>
    <t>C61070</t>
  </si>
  <si>
    <t>TRK90764894</t>
  </si>
  <si>
    <t>ORD200712</t>
  </si>
  <si>
    <t>TRK10513339</t>
  </si>
  <si>
    <t>ORD200713</t>
  </si>
  <si>
    <t>C65056</t>
  </si>
  <si>
    <t>TRK31705278</t>
  </si>
  <si>
    <t>ORD200714</t>
  </si>
  <si>
    <t>C84888</t>
  </si>
  <si>
    <t>TRK23612847</t>
  </si>
  <si>
    <t>ORD200715</t>
  </si>
  <si>
    <t>C68266</t>
  </si>
  <si>
    <t>TRK96161062</t>
  </si>
  <si>
    <t>ORD200716</t>
  </si>
  <si>
    <t>C84115</t>
  </si>
  <si>
    <t>TRK25466842</t>
  </si>
  <si>
    <t>ORD200717</t>
  </si>
  <si>
    <t>C50087</t>
  </si>
  <si>
    <t>TRK31143760</t>
  </si>
  <si>
    <t>ORD200718</t>
  </si>
  <si>
    <t>C16790</t>
  </si>
  <si>
    <t>TRK91791367</t>
  </si>
  <si>
    <t>ORD200719</t>
  </si>
  <si>
    <t>C46920</t>
  </si>
  <si>
    <t>TRK86403837</t>
  </si>
  <si>
    <t>ORD200720</t>
  </si>
  <si>
    <t>C12740</t>
  </si>
  <si>
    <t>TRK98506513</t>
  </si>
  <si>
    <t>ORD200721</t>
  </si>
  <si>
    <t>C46557</t>
  </si>
  <si>
    <t>TRK56110689</t>
  </si>
  <si>
    <t>ORD200722</t>
  </si>
  <si>
    <t>C58156</t>
  </si>
  <si>
    <t>TRK49719458</t>
  </si>
  <si>
    <t>ORD200723</t>
  </si>
  <si>
    <t>C14455</t>
  </si>
  <si>
    <t>TRK50933724</t>
  </si>
  <si>
    <t>ORD200724</t>
  </si>
  <si>
    <t>C63150</t>
  </si>
  <si>
    <t>TRK19348078</t>
  </si>
  <si>
    <t>ORD200725</t>
  </si>
  <si>
    <t>C95269</t>
  </si>
  <si>
    <t>TRK45670926</t>
  </si>
  <si>
    <t>ORD200726</t>
  </si>
  <si>
    <t>C18105</t>
  </si>
  <si>
    <t>TRK94006117</t>
  </si>
  <si>
    <t>ORD200727</t>
  </si>
  <si>
    <t>C29063</t>
  </si>
  <si>
    <t>TRK92745947</t>
  </si>
  <si>
    <t>ORD200728</t>
  </si>
  <si>
    <t>C10154</t>
  </si>
  <si>
    <t>TRK79793300</t>
  </si>
  <si>
    <t>ORD200729</t>
  </si>
  <si>
    <t>C36997</t>
  </si>
  <si>
    <t>TRK92794872</t>
  </si>
  <si>
    <t>ORD200730</t>
  </si>
  <si>
    <t>C77357</t>
  </si>
  <si>
    <t>TRK91943923</t>
  </si>
  <si>
    <t>ORD200731</t>
  </si>
  <si>
    <t>C71310</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</si>
  <si>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</si>
  <si>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</si>
  <si>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</si>
  <si>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</si>
  <si>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</si>
  <si>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</si>
  <si>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</si>
  <si>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</si>
  <si>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</si>
  <si>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</si>
  <si>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</si>
  <si>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</si>
  <si>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</si>
  <si>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</si>
  <si>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</si>
  <si>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</si>
  <si>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</si>
  <si>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</si>
  <si>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TRK25501930</t>
  </si>
  <si>
    <t>ORD200738</t>
  </si>
  <si>
    <t>C96261</t>
  </si>
  <si>
    <t>TRK44998396</t>
  </si>
  <si>
    <t>ORD200739</t>
  </si>
  <si>
    <t>C35123</t>
  </si>
  <si>
    <t>TRK58979275</t>
  </si>
  <si>
    <t>ORD200740</t>
  </si>
  <si>
    <t>C10892</t>
  </si>
  <si>
    <t>TRK76154554</t>
  </si>
  <si>
    <t>ORD200741</t>
  </si>
  <si>
    <t>C99683</t>
  </si>
  <si>
    <t>TRK87305883</t>
  </si>
  <si>
    <t>ORD200742</t>
  </si>
  <si>
    <t>C41974</t>
  </si>
  <si>
    <t>TRK48051468</t>
  </si>
  <si>
    <t>ORD200743</t>
  </si>
  <si>
    <t>C23978</t>
  </si>
  <si>
    <t>TRK87090813</t>
  </si>
  <si>
    <t>ORD200744</t>
  </si>
  <si>
    <t>C10642</t>
  </si>
  <si>
    <t>TRK98725693</t>
  </si>
  <si>
    <t>ORD200745</t>
  </si>
  <si>
    <t>C73813</t>
  </si>
  <si>
    <t>TRK89906749</t>
  </si>
  <si>
    <t>ORD200746</t>
  </si>
  <si>
    <t>C32183</t>
  </si>
  <si>
    <t>TRK76287027</t>
  </si>
  <si>
    <t>ORD200747</t>
  </si>
  <si>
    <t>C54277</t>
  </si>
  <si>
    <t>TRK26500181</t>
  </si>
  <si>
    <t>ORD200748</t>
  </si>
  <si>
    <t>C56553</t>
  </si>
  <si>
    <t>TRK37667360</t>
  </si>
  <si>
    <t>ORD200749</t>
  </si>
  <si>
    <t>C17551</t>
  </si>
  <si>
    <t>TRK88797170</t>
  </si>
  <si>
    <t>ORD200750</t>
  </si>
  <si>
    <t>C14737</t>
  </si>
  <si>
    <t>TRK10295115</t>
  </si>
  <si>
    <t>ORD200751</t>
  </si>
  <si>
    <t>C35168</t>
  </si>
  <si>
    <t>TRK76960854</t>
  </si>
  <si>
    <t>ORD200752</t>
  </si>
  <si>
    <t>C82217</t>
  </si>
  <si>
    <t>TRK33305694</t>
  </si>
  <si>
    <t>ORD200753</t>
  </si>
  <si>
    <t>C42270</t>
  </si>
  <si>
    <t>TRK72697796</t>
  </si>
  <si>
    <t>ORD200754</t>
  </si>
  <si>
    <t>C48846</t>
  </si>
  <si>
    <t>TRK52804097</t>
  </si>
  <si>
    <t>ORD200755</t>
  </si>
  <si>
    <t>C54160</t>
  </si>
  <si>
    <t>TRK60515972</t>
  </si>
  <si>
    <t>ORD200756</t>
  </si>
  <si>
    <t>C14080</t>
  </si>
  <si>
    <t>TRK93163682</t>
  </si>
  <si>
    <t>ORD200757</t>
  </si>
  <si>
    <t>C81074</t>
  </si>
  <si>
    <t>TRK91105190</t>
  </si>
  <si>
    <t>ORD200758</t>
  </si>
  <si>
    <t>C69021</t>
  </si>
  <si>
    <t>TRK57148510</t>
  </si>
  <si>
    <t>ORD200759</t>
  </si>
  <si>
    <t>C96283</t>
  </si>
  <si>
    <t>TRK91784124</t>
  </si>
  <si>
    <t>ORD200760</t>
  </si>
  <si>
    <t>C96636</t>
  </si>
  <si>
    <t>TRK73324346</t>
  </si>
  <si>
    <t>ORD200761</t>
  </si>
  <si>
    <t>C37235</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</si>
  <si>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</si>
  <si>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</si>
  <si>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</si>
  <si>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</si>
  <si>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</si>
  <si>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</si>
  <si>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</si>
  <si>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</si>
  <si>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</si>
  <si>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</si>
  <si>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</si>
  <si>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</si>
  <si>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</si>
  <si>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</si>
  <si>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</si>
  <si>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</si>
  <si>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</si>
  <si>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</si>
  <si>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TRK80436037</t>
  </si>
  <si>
    <t>ORD200768</t>
  </si>
  <si>
    <t>C35987</t>
  </si>
  <si>
    <t>TRK28918815</t>
  </si>
  <si>
    <t>ORD200769</t>
  </si>
  <si>
    <t>C13366</t>
  </si>
  <si>
    <t>TRK98691410</t>
  </si>
  <si>
    <t>ORD200770</t>
  </si>
  <si>
    <t>C72166</t>
  </si>
  <si>
    <t>TRK67733444</t>
  </si>
  <si>
    <t>ORD200771</t>
  </si>
  <si>
    <t>C20357</t>
  </si>
  <si>
    <t>TRK82236408</t>
  </si>
  <si>
    <t>ORD200772</t>
  </si>
  <si>
    <t>C33802</t>
  </si>
  <si>
    <t>TRK25799478</t>
  </si>
  <si>
    <t>ORD200773</t>
  </si>
  <si>
    <t>C99205</t>
  </si>
  <si>
    <t>TRK48904015</t>
  </si>
  <si>
    <t>ORD200774</t>
  </si>
  <si>
    <t>C29701</t>
  </si>
  <si>
    <t>TRK42266846</t>
  </si>
  <si>
    <t>ORD200775</t>
  </si>
  <si>
    <t>C73941</t>
  </si>
  <si>
    <t>TRK22051900</t>
  </si>
  <si>
    <t>ORD200776</t>
  </si>
  <si>
    <t>C69168</t>
  </si>
  <si>
    <t>TRK10446197</t>
  </si>
  <si>
    <t>ORD200777</t>
  </si>
  <si>
    <t>C66116</t>
  </si>
  <si>
    <t>TRK41967983</t>
  </si>
  <si>
    <t>ORD200778</t>
  </si>
  <si>
    <t>C85059</t>
  </si>
  <si>
    <t>TRK56503740</t>
  </si>
  <si>
    <t>ORD200779</t>
  </si>
  <si>
    <t>C18076</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</si>
  <si>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</si>
  <si>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</si>
  <si>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</si>
  <si>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</si>
  <si>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</si>
  <si>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</si>
  <si>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</si>
  <si>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</si>
  <si>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</si>
  <si>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</si>
  <si>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</si>
  <si>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</si>
  <si>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</si>
  <si>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</si>
  <si>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</si>
  <si>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</si>
  <si>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</si>
  <si>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</si>
  <si>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TRK53089983</t>
  </si>
  <si>
    <t>ORD200786</t>
  </si>
  <si>
    <t>C39130</t>
  </si>
  <si>
    <t>TRK99583414</t>
  </si>
  <si>
    <t>ORD200787</t>
  </si>
  <si>
    <t>C18167</t>
  </si>
  <si>
    <t>TRK36841089</t>
  </si>
  <si>
    <t>ORD200788</t>
  </si>
  <si>
    <t>C47307</t>
  </si>
  <si>
    <t>TRK43516112</t>
  </si>
  <si>
    <t>ORD200789</t>
  </si>
  <si>
    <t>C57276</t>
  </si>
  <si>
    <t>TRK75899752</t>
  </si>
  <si>
    <t>ORD200790</t>
  </si>
  <si>
    <t>C38928</t>
  </si>
  <si>
    <t>TRK96636009</t>
  </si>
  <si>
    <t>ORD200791</t>
  </si>
  <si>
    <t>C49710</t>
  </si>
  <si>
    <t>TRK92591237</t>
  </si>
  <si>
    <t>ORD200792</t>
  </si>
  <si>
    <t>C41709</t>
  </si>
  <si>
    <t>TRK90995294</t>
  </si>
  <si>
    <t>ORD200793</t>
  </si>
  <si>
    <t>C91255</t>
  </si>
  <si>
    <t>TRK69599961</t>
  </si>
  <si>
    <t>ORD200794</t>
  </si>
  <si>
    <t>C76653</t>
  </si>
  <si>
    <t>TRK77052196</t>
  </si>
  <si>
    <t>ORD200795</t>
  </si>
  <si>
    <t>C95667</t>
  </si>
  <si>
    <t>TRK41266666</t>
  </si>
  <si>
    <t>ORD200796</t>
  </si>
  <si>
    <t>C33313</t>
  </si>
  <si>
    <t>TRK13349970</t>
  </si>
  <si>
    <t>ORD200797</t>
  </si>
  <si>
    <t>C36825</t>
  </si>
  <si>
    <t>TRK72557318</t>
  </si>
  <si>
    <t>ORD200798</t>
  </si>
  <si>
    <t>C20861</t>
  </si>
  <si>
    <t>TRK89372013</t>
  </si>
  <si>
    <t>ORD200799</t>
  </si>
  <si>
    <t>C26364</t>
  </si>
  <si>
    <t>TRK78924436</t>
  </si>
  <si>
    <t>ORD200800</t>
  </si>
  <si>
    <t>C34686</t>
  </si>
  <si>
    <t>TRK99468332</t>
  </si>
  <si>
    <t>ORD200801</t>
  </si>
  <si>
    <t>TRK58443593</t>
  </si>
  <si>
    <t>ORD200802</t>
  </si>
  <si>
    <t>C84331</t>
  </si>
  <si>
    <t>TRK34440714</t>
  </si>
  <si>
    <t>ORD200803</t>
  </si>
  <si>
    <t>C88775</t>
  </si>
  <si>
    <t>TRK45098068</t>
  </si>
  <si>
    <t>ORD200804</t>
  </si>
  <si>
    <t>C76362</t>
  </si>
  <si>
    <t>TRK11868618</t>
  </si>
  <si>
    <t>ORD200805</t>
  </si>
  <si>
    <t>C59278</t>
  </si>
  <si>
    <t>TRK14590037</t>
  </si>
  <si>
    <t>ORD200806</t>
  </si>
  <si>
    <t>C55819</t>
  </si>
  <si>
    <t>TRK13775054</t>
  </si>
  <si>
    <t>ORD200807</t>
  </si>
  <si>
    <t>C82344</t>
  </si>
  <si>
    <t>TRK70957219</t>
  </si>
  <si>
    <t>ORD200808</t>
  </si>
  <si>
    <t>C65565</t>
  </si>
  <si>
    <t>TRK80383756</t>
  </si>
  <si>
    <t>ORD200809</t>
  </si>
  <si>
    <t>C80416</t>
  </si>
  <si>
    <t>TRK54385892</t>
  </si>
  <si>
    <t>ORD200810</t>
  </si>
  <si>
    <t>C23637</t>
  </si>
  <si>
    <t>TRK16749863</t>
  </si>
  <si>
    <t>ORD200811</t>
  </si>
  <si>
    <t>C24769</t>
  </si>
  <si>
    <t>TRK44538305</t>
  </si>
  <si>
    <t>ORD200812</t>
  </si>
  <si>
    <t>C81547</t>
  </si>
  <si>
    <t>TRK88437123</t>
  </si>
  <si>
    <t>ORD200813</t>
  </si>
  <si>
    <t>C12813</t>
  </si>
  <si>
    <t>TRK36131660</t>
  </si>
  <si>
    <t>ORD200814</t>
  </si>
  <si>
    <t>C50732</t>
  </si>
  <si>
    <t>TRK21082461</t>
  </si>
  <si>
    <t>ORD200815</t>
  </si>
  <si>
    <t>C41320</t>
  </si>
  <si>
    <t>TRK77539180</t>
  </si>
  <si>
    <t>ORD200816</t>
  </si>
  <si>
    <t>C55286</t>
  </si>
  <si>
    <t>TRK39058734</t>
  </si>
  <si>
    <t>ORD200817</t>
  </si>
  <si>
    <t>C87994</t>
  </si>
  <si>
    <t>TRK98883971</t>
  </si>
  <si>
    <t>ORD200818</t>
  </si>
  <si>
    <t>C25580</t>
  </si>
  <si>
    <t>TRK58781638</t>
  </si>
  <si>
    <t>ORD200819</t>
  </si>
  <si>
    <t>C66196</t>
  </si>
  <si>
    <t>TRK38104650</t>
  </si>
  <si>
    <t>ORD200820</t>
  </si>
  <si>
    <t>C35377</t>
  </si>
  <si>
    <t>TRK17342157</t>
  </si>
  <si>
    <t>ORD200821</t>
  </si>
  <si>
    <t>C40771</t>
  </si>
  <si>
    <t>TRK56310345</t>
  </si>
  <si>
    <t>ORD200822</t>
  </si>
  <si>
    <t>C20624</t>
  </si>
  <si>
    <t>TRK45123395</t>
  </si>
  <si>
    <t>ORD200823</t>
  </si>
  <si>
    <t>C27070</t>
  </si>
  <si>
    <t>TRK83842481</t>
  </si>
  <si>
    <t>ORD200824</t>
  </si>
  <si>
    <t>C18826</t>
  </si>
  <si>
    <t>TRK12530495</t>
  </si>
  <si>
    <t>ORD200825</t>
  </si>
  <si>
    <t>C23899</t>
  </si>
  <si>
    <t>TRK88914760</t>
  </si>
  <si>
    <t>ORD200826</t>
  </si>
  <si>
    <t>C43249</t>
  </si>
  <si>
    <t>TRK32469820</t>
  </si>
  <si>
    <t>ORD200827</t>
  </si>
  <si>
    <t>C95856</t>
  </si>
  <si>
    <t>TRK58829625</t>
  </si>
  <si>
    <t>ORD200828</t>
  </si>
  <si>
    <t>C86266</t>
  </si>
  <si>
    <t>TRK64576020</t>
  </si>
  <si>
    <t>ORD200829</t>
  </si>
  <si>
    <t>C39551</t>
  </si>
  <si>
    <t>TRK68358007</t>
  </si>
  <si>
    <t>ORD200830</t>
  </si>
  <si>
    <t>C90310</t>
  </si>
  <si>
    <t>TRK70028457</t>
  </si>
  <si>
    <t>ORD200831</t>
  </si>
  <si>
    <t>C20124</t>
  </si>
  <si>
    <t>TRK61346824</t>
  </si>
  <si>
    <t>ORD200832</t>
  </si>
  <si>
    <t>C63372</t>
  </si>
  <si>
    <t>TRK14661811</t>
  </si>
  <si>
    <t>ORD200833</t>
  </si>
  <si>
    <t>C90595</t>
  </si>
  <si>
    <t>TRK96573803</t>
  </si>
  <si>
    <t>ORD200834</t>
  </si>
  <si>
    <t>C98483</t>
  </si>
  <si>
    <t>TRK22084320</t>
  </si>
  <si>
    <t>ORD200835</t>
  </si>
  <si>
    <t>C16429</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</si>
  <si>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</si>
  <si>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</si>
  <si>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</si>
  <si>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</si>
  <si>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</si>
  <si>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</si>
  <si>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</si>
  <si>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</si>
  <si>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</si>
  <si>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</si>
  <si>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</si>
  <si>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</si>
  <si>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</si>
  <si>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</si>
  <si>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</si>
  <si>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</si>
  <si>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</si>
  <si>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</si>
  <si>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TRK51732528</t>
  </si>
  <si>
    <t>ORD200842</t>
  </si>
  <si>
    <t>C78305</t>
  </si>
  <si>
    <t>TRK88312618</t>
  </si>
  <si>
    <t>ORD200843</t>
  </si>
  <si>
    <t>C43538</t>
  </si>
  <si>
    <t>TRK20961563</t>
  </si>
  <si>
    <t>ORD200844</t>
  </si>
  <si>
    <t>C47486</t>
  </si>
  <si>
    <t>TRK75984759</t>
  </si>
  <si>
    <t>ORD200845</t>
  </si>
  <si>
    <t>C24212</t>
  </si>
  <si>
    <t>TRK68894675</t>
  </si>
  <si>
    <t>ORD200846</t>
  </si>
  <si>
    <t>C24765</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</si>
  <si>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</si>
  <si>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</si>
  <si>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</si>
  <si>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</si>
  <si>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</si>
  <si>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</si>
  <si>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</si>
  <si>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</si>
  <si>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</si>
  <si>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</si>
  <si>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</si>
  <si>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</si>
  <si>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</si>
  <si>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</si>
  <si>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</si>
  <si>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</si>
  <si>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</si>
  <si>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</si>
  <si>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</si>
  <si>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</si>
  <si>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</si>
  <si>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</si>
  <si>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</si>
  <si>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</si>
  <si>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</si>
  <si>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</si>
  <si>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</si>
  <si>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</si>
  <si>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</si>
  <si>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</si>
  <si>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</si>
  <si>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</si>
  <si>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</si>
  <si>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</si>
  <si>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</si>
  <si>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</si>
  <si>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</si>
  <si>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</si>
  <si>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</si>
  <si>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</si>
  <si>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</si>
  <si>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</si>
  <si>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</si>
  <si>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</si>
  <si>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</si>
  <si>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TRK44165913</t>
  </si>
  <si>
    <t>ORD200862</t>
  </si>
  <si>
    <t>C37969</t>
  </si>
  <si>
    <t>TRK69852386</t>
  </si>
  <si>
    <t>ORD200863</t>
  </si>
  <si>
    <t>C98276</t>
  </si>
  <si>
    <t>TRK74207282</t>
  </si>
  <si>
    <t>ORD200864</t>
  </si>
  <si>
    <t>C14240</t>
  </si>
  <si>
    <t>TRK58095246</t>
  </si>
  <si>
    <t>ORD200865</t>
  </si>
  <si>
    <t>C72241</t>
  </si>
  <si>
    <t>TRK76270481</t>
  </si>
  <si>
    <t>ORD200866</t>
  </si>
  <si>
    <t>C39664</t>
  </si>
  <si>
    <t>TRK39917741</t>
  </si>
  <si>
    <t>ORD200867</t>
  </si>
  <si>
    <t>C53252</t>
  </si>
  <si>
    <t>TRK65831261</t>
  </si>
  <si>
    <t>ORD200868</t>
  </si>
  <si>
    <t>C70452</t>
  </si>
  <si>
    <t>TRK42985882</t>
  </si>
  <si>
    <t>ORD200869</t>
  </si>
  <si>
    <t>C29905</t>
  </si>
  <si>
    <t>TRK16788127</t>
  </si>
  <si>
    <t>ORD200870</t>
  </si>
  <si>
    <t>C78725</t>
  </si>
  <si>
    <t>TRK72001139</t>
  </si>
  <si>
    <t>ORD200871</t>
  </si>
  <si>
    <t>C93768</t>
  </si>
  <si>
    <t>TRK22024707</t>
  </si>
  <si>
    <t>ORD200872</t>
  </si>
  <si>
    <t>C59169</t>
  </si>
  <si>
    <t>TRK90883858</t>
  </si>
  <si>
    <t>ORD200873</t>
  </si>
  <si>
    <t>C53488</t>
  </si>
  <si>
    <t>TRK27365050</t>
  </si>
  <si>
    <t>ORD200874</t>
  </si>
  <si>
    <t>C92180</t>
  </si>
  <si>
    <t>TRK93315929</t>
  </si>
  <si>
    <t>ORD200875</t>
  </si>
  <si>
    <t>C25918</t>
  </si>
  <si>
    <t>TRK66473392</t>
  </si>
  <si>
    <t>ORD200876</t>
  </si>
  <si>
    <t>C90363</t>
  </si>
  <si>
    <t>TRK21534173</t>
  </si>
  <si>
    <t>ORD200877</t>
  </si>
  <si>
    <t>C43867</t>
  </si>
  <si>
    <t>TRK97319127</t>
  </si>
  <si>
    <t>ORD200878</t>
  </si>
  <si>
    <t>C73873</t>
  </si>
  <si>
    <t>TRK56423132</t>
  </si>
  <si>
    <t>ORD200879</t>
  </si>
  <si>
    <t>C56622</t>
  </si>
  <si>
    <t>TRK86373987</t>
  </si>
  <si>
    <t>ORD200880</t>
  </si>
  <si>
    <t>C85074</t>
  </si>
  <si>
    <t>TRK63133878</t>
  </si>
  <si>
    <t>ORD200881</t>
  </si>
  <si>
    <t>C59579</t>
  </si>
  <si>
    <t>TRK48000034</t>
  </si>
  <si>
    <t>ORD200882</t>
  </si>
  <si>
    <t>C43335</t>
  </si>
  <si>
    <t>TRK91848650</t>
  </si>
  <si>
    <t>ORD200883</t>
  </si>
  <si>
    <t>C43595</t>
  </si>
  <si>
    <t>TRK25317348</t>
  </si>
  <si>
    <t>ORD200884</t>
  </si>
  <si>
    <t>C71471</t>
  </si>
  <si>
    <t>TRK52137079</t>
  </si>
  <si>
    <t>ORD200885</t>
  </si>
  <si>
    <t>C61090</t>
  </si>
  <si>
    <t>TRK36388962</t>
  </si>
  <si>
    <t>ORD200886</t>
  </si>
  <si>
    <t>C29620</t>
  </si>
  <si>
    <t>TRK22046456</t>
  </si>
  <si>
    <t>ORD200887</t>
  </si>
  <si>
    <t>C67932</t>
  </si>
  <si>
    <t>TRK88547534</t>
  </si>
  <si>
    <t>ORD200888</t>
  </si>
  <si>
    <t>C14427</t>
  </si>
  <si>
    <t>TRK58024529</t>
  </si>
  <si>
    <t>ORD200889</t>
  </si>
  <si>
    <t>C36725</t>
  </si>
  <si>
    <t>TRK16808790</t>
  </si>
  <si>
    <t>ORD200890</t>
  </si>
  <si>
    <t>C51921</t>
  </si>
  <si>
    <t>TRK85741716</t>
  </si>
  <si>
    <t>ORD200891</t>
  </si>
  <si>
    <t>C36534</t>
  </si>
  <si>
    <t>TRK38952138</t>
  </si>
  <si>
    <t>ORD200892</t>
  </si>
  <si>
    <t>C72043</t>
  </si>
  <si>
    <t>TRK40896408</t>
  </si>
  <si>
    <t>ORD200893</t>
  </si>
  <si>
    <t>C99533</t>
  </si>
  <si>
    <t>TRK55701253</t>
  </si>
  <si>
    <t>ORD200894</t>
  </si>
  <si>
    <t>C90852</t>
  </si>
  <si>
    <t>TRK37551831</t>
  </si>
  <si>
    <t>ORD200895</t>
  </si>
  <si>
    <t>C81882</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</si>
  <si>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</si>
  <si>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</si>
  <si>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</si>
  <si>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</si>
  <si>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</si>
  <si>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</si>
  <si>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</si>
  <si>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</si>
  <si>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</si>
  <si>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</si>
  <si>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</si>
  <si>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</si>
  <si>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</si>
  <si>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</si>
  <si>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</si>
  <si>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</si>
  <si>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</si>
  <si>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</si>
  <si>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</si>
  <si>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</si>
  <si>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</si>
  <si>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</si>
  <si>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</si>
  <si>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</si>
  <si>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</si>
  <si>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</si>
  <si>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</si>
  <si>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</si>
  <si>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</si>
  <si>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</si>
  <si>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</si>
  <si>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</si>
  <si>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</si>
  <si>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</si>
  <si>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</si>
  <si>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</si>
  <si>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</si>
  <si>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</si>
  <si>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</si>
  <si>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</si>
  <si>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</si>
  <si>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</si>
  <si>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</si>
  <si>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</si>
  <si>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</si>
  <si>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</si>
  <si>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</si>
  <si>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</si>
  <si>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</si>
  <si>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</si>
  <si>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</si>
  <si>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</si>
  <si>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</si>
  <si>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</si>
  <si>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</si>
  <si>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</si>
  <si>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</si>
  <si>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</si>
  <si>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</si>
  <si>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</si>
  <si>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TRK30736692</t>
  </si>
  <si>
    <t>ORD200916</t>
  </si>
  <si>
    <t>C35669</t>
  </si>
  <si>
    <t>TRK13928455</t>
  </si>
  <si>
    <t>ORD200917</t>
  </si>
  <si>
    <t>C65524</t>
  </si>
  <si>
    <t>TRK19315310</t>
  </si>
  <si>
    <t>ORD200918</t>
  </si>
  <si>
    <t>C74359</t>
  </si>
  <si>
    <t>TRK18250450</t>
  </si>
  <si>
    <t>ORD200919</t>
  </si>
  <si>
    <t>C92086</t>
  </si>
  <si>
    <t>TRK23357668</t>
  </si>
  <si>
    <t>ORD200920</t>
  </si>
  <si>
    <t>C26137</t>
  </si>
  <si>
    <t>TRK98110407</t>
  </si>
  <si>
    <t>ORD200921</t>
  </si>
  <si>
    <t>C90573</t>
  </si>
  <si>
    <t>TRK90075720</t>
  </si>
  <si>
    <t>ORD200922</t>
  </si>
  <si>
    <t>C81857</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</si>
  <si>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</si>
  <si>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</si>
  <si>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</si>
  <si>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</si>
  <si>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</si>
  <si>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</si>
  <si>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</si>
  <si>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</si>
  <si>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</si>
  <si>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</si>
  <si>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</si>
  <si>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</si>
  <si>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</si>
  <si>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</si>
  <si>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</si>
  <si>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</si>
  <si>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</si>
  <si>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</si>
  <si>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</si>
  <si>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</si>
  <si>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</si>
  <si>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</si>
  <si>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</si>
  <si>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</si>
  <si>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</si>
  <si>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</si>
  <si>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</si>
  <si>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</si>
  <si>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</si>
  <si>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</si>
  <si>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</si>
  <si>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</si>
  <si>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</si>
  <si>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</si>
  <si>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</si>
  <si>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</si>
  <si>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</si>
  <si>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</si>
  <si>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</si>
  <si>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</si>
  <si>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</si>
  <si>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</si>
  <si>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</si>
  <si>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</si>
  <si>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</si>
  <si>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</si>
  <si>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</si>
  <si>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</si>
  <si>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</si>
  <si>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</si>
  <si>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</si>
  <si>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TRK53152886</t>
  </si>
  <si>
    <t>ORD200940</t>
  </si>
  <si>
    <t>C74003</t>
  </si>
  <si>
    <t>TRK91525779</t>
  </si>
  <si>
    <t>ORD200941</t>
  </si>
  <si>
    <t>TRK82162952</t>
  </si>
  <si>
    <t>ORD200942</t>
  </si>
  <si>
    <t>C17591</t>
  </si>
  <si>
    <t>TRK56070470</t>
  </si>
  <si>
    <t>ORD200943</t>
  </si>
  <si>
    <t>C43330</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</si>
  <si>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</si>
  <si>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</si>
  <si>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</si>
  <si>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</si>
  <si>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</si>
  <si>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</si>
  <si>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</si>
  <si>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</si>
  <si>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</si>
  <si>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</si>
  <si>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</si>
  <si>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</si>
  <si>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</si>
  <si>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</si>
  <si>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</si>
  <si>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</si>
  <si>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</si>
  <si>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</si>
  <si>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</si>
  <si>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</si>
  <si>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</si>
  <si>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</si>
  <si>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</si>
  <si>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</si>
  <si>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</si>
  <si>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</si>
  <si>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TRK45303393</t>
  </si>
  <si>
    <t>ORD200953</t>
  </si>
  <si>
    <t>C43721</t>
  </si>
  <si>
    <t>TRK89392104</t>
  </si>
  <si>
    <t>ORD200954</t>
  </si>
  <si>
    <t>C68609</t>
  </si>
  <si>
    <t>TRK58273778</t>
  </si>
  <si>
    <t>ORD200955</t>
  </si>
  <si>
    <t>C82068</t>
  </si>
  <si>
    <t>TRK25779180</t>
  </si>
  <si>
    <t>ORD200956</t>
  </si>
  <si>
    <t>TRK86246309</t>
  </si>
  <si>
    <t>ORD200957</t>
  </si>
  <si>
    <t>C73575</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</si>
  <si>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</si>
  <si>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</si>
  <si>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</si>
  <si>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</si>
  <si>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</si>
  <si>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</si>
  <si>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</si>
  <si>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</si>
  <si>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</si>
  <si>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</si>
  <si>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</si>
  <si>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</si>
  <si>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</si>
  <si>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</si>
  <si>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</si>
  <si>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</si>
  <si>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</si>
  <si>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</si>
  <si>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</si>
  <si>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</si>
  <si>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</si>
  <si>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</si>
  <si>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</si>
  <si>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</si>
  <si>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</si>
  <si>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</si>
  <si>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</si>
  <si>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TRK12981657</t>
  </si>
  <si>
    <t>ORD200967</t>
  </si>
  <si>
    <t>C52879</t>
  </si>
  <si>
    <t>TRK67403284</t>
  </si>
  <si>
    <t>ORD200968</t>
  </si>
  <si>
    <t>C67870</t>
  </si>
  <si>
    <t>TRK72602178</t>
  </si>
  <si>
    <t>ORD200969</t>
  </si>
  <si>
    <t>C19439</t>
  </si>
  <si>
    <t>TRK25383993</t>
  </si>
  <si>
    <t>ORD200970</t>
  </si>
  <si>
    <t>C72664</t>
  </si>
  <si>
    <t>TRK86694331</t>
  </si>
  <si>
    <t>ORD200971</t>
  </si>
  <si>
    <t>C32650</t>
  </si>
  <si>
    <t>TRK66648743</t>
  </si>
  <si>
    <t>ORD200972</t>
  </si>
  <si>
    <t>C66438</t>
  </si>
  <si>
    <t>TRK32035271</t>
  </si>
  <si>
    <t>ORD200973</t>
  </si>
  <si>
    <t>C70010</t>
  </si>
  <si>
    <t>TRK50594008</t>
  </si>
  <si>
    <t>ORD200974</t>
  </si>
  <si>
    <t>C30722</t>
  </si>
  <si>
    <t>TRK52088168</t>
  </si>
  <si>
    <t>ORD200975</t>
  </si>
  <si>
    <t>C70529</t>
  </si>
  <si>
    <t>TRK82165408</t>
  </si>
  <si>
    <t>ORD200976</t>
  </si>
  <si>
    <t>C18984</t>
  </si>
  <si>
    <t>TRK49298239</t>
  </si>
  <si>
    <t>ORD200977</t>
  </si>
  <si>
    <t>C85841</t>
  </si>
  <si>
    <t>TRK99820544</t>
  </si>
  <si>
    <t>ORD200978</t>
  </si>
  <si>
    <t>C41508</t>
  </si>
  <si>
    <t>TRK61047536</t>
  </si>
  <si>
    <t>ORD200979</t>
  </si>
  <si>
    <t>C75018</t>
  </si>
  <si>
    <t>TRK51794806</t>
  </si>
  <si>
    <t>ORD200980</t>
  </si>
  <si>
    <t>C84320</t>
  </si>
  <si>
    <t>TRK81093218</t>
  </si>
  <si>
    <t>ORD200981</t>
  </si>
  <si>
    <t>C12609</t>
  </si>
  <si>
    <t>TRK56379337</t>
  </si>
  <si>
    <t>ORD200982</t>
  </si>
  <si>
    <t>C64935</t>
  </si>
  <si>
    <t>TRK42969065</t>
  </si>
  <si>
    <t>ORD200983</t>
  </si>
  <si>
    <t>C67528</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</si>
  <si>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</si>
  <si>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</si>
  <si>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</si>
  <si>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</si>
  <si>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</si>
  <si>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</si>
  <si>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</si>
  <si>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</si>
  <si>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</si>
  <si>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</si>
  <si>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</si>
  <si>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</si>
  <si>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</si>
  <si>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</si>
  <si>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</si>
  <si>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</si>
  <si>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</si>
  <si>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</si>
  <si>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TRK33212013</t>
  </si>
  <si>
    <t>ORD200990</t>
  </si>
  <si>
    <t>C52313</t>
  </si>
  <si>
    <t>TRK67368559</t>
  </si>
  <si>
    <t>ORD200991</t>
  </si>
  <si>
    <t>C10211</t>
  </si>
  <si>
    <t>TRK68938335</t>
  </si>
  <si>
    <t>ORD200992</t>
  </si>
  <si>
    <t>C97907</t>
  </si>
  <si>
    <t>TRK89637569</t>
  </si>
  <si>
    <t>ORD200993</t>
  </si>
  <si>
    <t>C61384</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</si>
  <si>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</si>
  <si>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</si>
  <si>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</si>
  <si>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</si>
  <si>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</si>
  <si>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</si>
  <si>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</si>
  <si>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</si>
  <si>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</si>
  <si>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</si>
  <si>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</si>
  <si>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</si>
  <si>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</si>
  <si>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</si>
  <si>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</si>
  <si>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</si>
  <si>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</si>
  <si>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</si>
  <si>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</si>
  <si>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</si>
  <si>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</si>
  <si>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</si>
  <si>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</si>
  <si>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</si>
  <si>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</si>
  <si>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</si>
  <si>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</si>
  <si>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</si>
  <si>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</si>
  <si>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</si>
  <si>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</si>
  <si>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</si>
  <si>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</si>
  <si>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</si>
  <si>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</si>
  <si>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</si>
  <si>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</si>
  <si>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</si>
  <si>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</si>
  <si>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</si>
  <si>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</si>
  <si>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</si>
  <si>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</si>
  <si>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</si>
  <si>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</si>
  <si>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</si>
  <si>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</si>
  <si>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</si>
  <si>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</si>
  <si>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</si>
  <si>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</si>
  <si>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</si>
  <si>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</si>
  <si>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</si>
  <si>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</si>
  <si>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</si>
  <si>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</si>
  <si>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</si>
  <si>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</si>
  <si>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</si>
  <si>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</si>
  <si>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</si>
  <si>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</si>
  <si>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</si>
  <si>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</si>
  <si>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</si>
  <si>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</si>
  <si>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</si>
  <si>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TRK62135578</t>
  </si>
  <si>
    <t>ORD201017</t>
  </si>
  <si>
    <t>C51694</t>
  </si>
  <si>
    <t>TRK83122112</t>
  </si>
  <si>
    <t>ORD201018</t>
  </si>
  <si>
    <t>C77499</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</si>
  <si>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</si>
  <si>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</si>
  <si>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</si>
  <si>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</si>
  <si>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</si>
  <si>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</si>
  <si>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</si>
  <si>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</si>
  <si>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</si>
  <si>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</si>
  <si>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</si>
  <si>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</si>
  <si>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</si>
  <si>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</si>
  <si>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</si>
  <si>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</si>
  <si>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</si>
  <si>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</si>
  <si>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</si>
  <si>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</si>
  <si>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</si>
  <si>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</si>
  <si>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</si>
  <si>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</si>
  <si>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</si>
  <si>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</si>
  <si>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</si>
  <si>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</si>
  <si>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</si>
  <si>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</si>
  <si>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</si>
  <si>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</si>
  <si>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</si>
  <si>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</si>
  <si>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</si>
  <si>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</si>
  <si>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TRK12936357</t>
  </si>
  <si>
    <t>ORD201031</t>
  </si>
  <si>
    <t>C59183</t>
  </si>
  <si>
    <t>TRK18129706</t>
  </si>
  <si>
    <t>ORD201032</t>
  </si>
  <si>
    <t>C26188</t>
  </si>
  <si>
    <t>TRK61634201</t>
  </si>
  <si>
    <t>ORD201033</t>
  </si>
  <si>
    <t>C20338</t>
  </si>
  <si>
    <t>TRK30654048</t>
  </si>
  <si>
    <t>ORD201034</t>
  </si>
  <si>
    <t>C84524</t>
  </si>
  <si>
    <t>TRK76751888</t>
  </si>
  <si>
    <t>ORD201035</t>
  </si>
  <si>
    <t>C70315</t>
  </si>
  <si>
    <t>TRK97732085</t>
  </si>
  <si>
    <t>ORD201036</t>
  </si>
  <si>
    <t>C98278</t>
  </si>
  <si>
    <t>TRK49684737</t>
  </si>
  <si>
    <t>ORD201037</t>
  </si>
  <si>
    <t>C32347</t>
  </si>
  <si>
    <t>TRK54073964</t>
  </si>
  <si>
    <t>ORD201038</t>
  </si>
  <si>
    <t>C77961</t>
  </si>
  <si>
    <t>TRK28969024</t>
  </si>
  <si>
    <t>ORD201039</t>
  </si>
  <si>
    <t>C49137</t>
  </si>
  <si>
    <t>TRK79362428</t>
  </si>
  <si>
    <t>ORD201040</t>
  </si>
  <si>
    <t>C13169</t>
  </si>
  <si>
    <t>TRK66288666</t>
  </si>
  <si>
    <t>ORD201041</t>
  </si>
  <si>
    <t>C21167</t>
  </si>
  <si>
    <t>TRK97737564</t>
  </si>
  <si>
    <t>ORD201042</t>
  </si>
  <si>
    <t>C59724</t>
  </si>
  <si>
    <t>TRK67878272</t>
  </si>
  <si>
    <t>ORD201043</t>
  </si>
  <si>
    <t>C43965</t>
  </si>
  <si>
    <t>TRK94346739</t>
  </si>
  <si>
    <t>ORD201044</t>
  </si>
  <si>
    <t>C63018</t>
  </si>
  <si>
    <t>TRK52335337</t>
  </si>
  <si>
    <t>ORD201045</t>
  </si>
  <si>
    <t>C11893</t>
  </si>
  <si>
    <t>TRK72012758</t>
  </si>
  <si>
    <t>ORD201046</t>
  </si>
  <si>
    <t>C85421</t>
  </si>
  <si>
    <t>TRK16524006</t>
  </si>
  <si>
    <t>ORD201047</t>
  </si>
  <si>
    <t>C81726</t>
  </si>
  <si>
    <t>TRK69872994</t>
  </si>
  <si>
    <t>ORD201048</t>
  </si>
  <si>
    <t>C57601</t>
  </si>
  <si>
    <t>TRK21153699</t>
  </si>
  <si>
    <t>ORD201049</t>
  </si>
  <si>
    <t>C60575</t>
  </si>
  <si>
    <t>TRK44468232</t>
  </si>
  <si>
    <t>ORD201050</t>
  </si>
  <si>
    <t>C70659</t>
  </si>
  <si>
    <t>TRK49663597</t>
  </si>
  <si>
    <t>ORD201051</t>
  </si>
  <si>
    <t>C35043</t>
  </si>
  <si>
    <t>TRK65097450</t>
  </si>
  <si>
    <t>ORD201052</t>
  </si>
  <si>
    <t>C12301</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</si>
  <si>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</si>
  <si>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</si>
  <si>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</si>
  <si>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</si>
  <si>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</si>
  <si>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</si>
  <si>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</si>
  <si>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</si>
  <si>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</si>
  <si>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</si>
  <si>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</si>
  <si>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</si>
  <si>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</si>
  <si>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</si>
  <si>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</si>
  <si>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</si>
  <si>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</si>
  <si>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</si>
  <si>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</si>
  <si>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</si>
  <si>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</si>
  <si>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</si>
  <si>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</si>
  <si>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</si>
  <si>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</si>
  <si>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</si>
  <si>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</si>
  <si>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</si>
  <si>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</si>
  <si>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</si>
  <si>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</si>
  <si>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</si>
  <si>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</si>
  <si>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</si>
  <si>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</si>
  <si>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</si>
  <si>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</si>
  <si>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</si>
  <si>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</si>
  <si>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</si>
  <si>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</si>
  <si>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</si>
  <si>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</si>
  <si>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</si>
  <si>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</si>
  <si>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</si>
  <si>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</si>
  <si>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</si>
  <si>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</si>
  <si>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</si>
  <si>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</si>
  <si>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</si>
  <si>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</si>
  <si>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</si>
  <si>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</si>
  <si>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</si>
  <si>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</si>
  <si>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</si>
  <si>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</si>
  <si>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</si>
  <si>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</si>
  <si>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</si>
  <si>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</si>
  <si>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</si>
  <si>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</si>
  <si>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</si>
  <si>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</si>
  <si>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</si>
  <si>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</si>
  <si>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</si>
  <si>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</si>
  <si>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</si>
  <si>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</si>
  <si>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</si>
  <si>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</si>
  <si>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</si>
  <si>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</si>
  <si>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</si>
  <si>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</si>
  <si>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</si>
  <si>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</si>
  <si>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</si>
  <si>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</si>
  <si>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</si>
  <si>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</si>
  <si>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</si>
  <si>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</si>
  <si>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</si>
  <si>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</si>
  <si>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</si>
  <si>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</si>
  <si>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</si>
  <si>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</si>
  <si>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</si>
  <si>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</si>
  <si>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</si>
  <si>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</si>
  <si>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</si>
  <si>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</si>
  <si>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</si>
  <si>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</si>
  <si>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</si>
  <si>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TRK91439791</t>
  </si>
  <si>
    <t>ORD201087</t>
  </si>
  <si>
    <t>C84134</t>
  </si>
  <si>
    <t>TRK48659380</t>
  </si>
  <si>
    <t>ORD201088</t>
  </si>
  <si>
    <t>C49831</t>
  </si>
  <si>
    <t>TRK21232601</t>
  </si>
  <si>
    <t>ORD201089</t>
  </si>
  <si>
    <t>C13324</t>
  </si>
  <si>
    <t>TRK66967997</t>
  </si>
  <si>
    <t>ORD201090</t>
  </si>
  <si>
    <t>C61225</t>
  </si>
  <si>
    <t>TRK37022954</t>
  </si>
  <si>
    <t>ORD201091</t>
  </si>
  <si>
    <t>C16400</t>
  </si>
  <si>
    <t>TRK57771859</t>
  </si>
  <si>
    <t>ORD201092</t>
  </si>
  <si>
    <t>C38642</t>
  </si>
  <si>
    <t>TRK47744396</t>
  </si>
  <si>
    <t>ORD201093</t>
  </si>
  <si>
    <t>C86773</t>
  </si>
  <si>
    <t>TRK22612240</t>
  </si>
  <si>
    <t>ORD201094</t>
  </si>
  <si>
    <t>C66093</t>
  </si>
  <si>
    <t>TRK54950785</t>
  </si>
  <si>
    <t>ORD201095</t>
  </si>
  <si>
    <t>C33051</t>
  </si>
  <si>
    <t>TRK92929755</t>
  </si>
  <si>
    <t>ORD201096</t>
  </si>
  <si>
    <t>C18169</t>
  </si>
  <si>
    <t>TRK49482923</t>
  </si>
  <si>
    <t>ORD201097</t>
  </si>
  <si>
    <t>C81370</t>
  </si>
  <si>
    <t>TRK99682998</t>
  </si>
  <si>
    <t>ORD201098</t>
  </si>
  <si>
    <t>C91103</t>
  </si>
  <si>
    <t>TRK91653000</t>
  </si>
  <si>
    <t>ORD201099</t>
  </si>
  <si>
    <t>C21953</t>
  </si>
  <si>
    <t>TRK60774796</t>
  </si>
  <si>
    <t>ORD201100</t>
  </si>
  <si>
    <t>C15146</t>
  </si>
  <si>
    <t>TRK79790530</t>
  </si>
  <si>
    <t>ORD201101</t>
  </si>
  <si>
    <t>C43546</t>
  </si>
  <si>
    <t>TRK85871121</t>
  </si>
  <si>
    <t>ORD201102</t>
  </si>
  <si>
    <t>TRK86192984</t>
  </si>
  <si>
    <t>ORD201103</t>
  </si>
  <si>
    <t>C90292</t>
  </si>
  <si>
    <t>TRK26270357</t>
  </si>
  <si>
    <t>ORD201104</t>
  </si>
  <si>
    <t>C17075</t>
  </si>
  <si>
    <t>TRK63547510</t>
  </si>
  <si>
    <t>ORD201105</t>
  </si>
  <si>
    <t>C12487</t>
  </si>
  <si>
    <t>TRK23324770</t>
  </si>
  <si>
    <t>ORD201106</t>
  </si>
  <si>
    <t>C34555</t>
  </si>
  <si>
    <t>TRK72859458</t>
  </si>
  <si>
    <t>ORD201107</t>
  </si>
  <si>
    <t>C25110</t>
  </si>
  <si>
    <t>TRK80963328</t>
  </si>
  <si>
    <t>ORD201108</t>
  </si>
  <si>
    <t>C35136</t>
  </si>
  <si>
    <t>TRK49753703</t>
  </si>
  <si>
    <t>ORD201109</t>
  </si>
  <si>
    <t>C62277</t>
  </si>
  <si>
    <t>TRK32026174</t>
  </si>
  <si>
    <t>ORD201110</t>
  </si>
  <si>
    <t>C12472</t>
  </si>
  <si>
    <t>TRK36103184</t>
  </si>
  <si>
    <t>ORD201111</t>
  </si>
  <si>
    <t>C24047</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</si>
  <si>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</si>
  <si>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</si>
  <si>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</si>
  <si>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</si>
  <si>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</si>
  <si>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</si>
  <si>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</si>
  <si>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</si>
  <si>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</si>
  <si>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</si>
  <si>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</si>
  <si>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</si>
  <si>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</si>
  <si>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</si>
  <si>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</si>
  <si>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</si>
  <si>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</si>
  <si>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</si>
  <si>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</si>
  <si>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</si>
  <si>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</si>
  <si>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</si>
  <si>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</si>
  <si>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</si>
  <si>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</si>
  <si>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</si>
  <si>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</si>
  <si>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</si>
  <si>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</si>
  <si>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</si>
  <si>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</si>
  <si>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</si>
  <si>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</si>
  <si>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</si>
  <si>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</si>
  <si>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TRK73163634</t>
  </si>
  <si>
    <t>ORD201124</t>
  </si>
  <si>
    <t>C33744</t>
  </si>
  <si>
    <t>TRK40245983</t>
  </si>
  <si>
    <t>ORD201125</t>
  </si>
  <si>
    <t>C23555</t>
  </si>
  <si>
    <t>TRK67210247</t>
  </si>
  <si>
    <t>ORD201126</t>
  </si>
  <si>
    <t>C34337</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</si>
  <si>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</si>
  <si>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</si>
  <si>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</si>
  <si>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</si>
  <si>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</si>
  <si>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</si>
  <si>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</si>
  <si>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</si>
  <si>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</si>
  <si>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</si>
  <si>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</si>
  <si>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</si>
  <si>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</si>
  <si>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</si>
  <si>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</si>
  <si>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</si>
  <si>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</si>
  <si>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</si>
  <si>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</si>
  <si>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</si>
  <si>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</si>
  <si>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</si>
  <si>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</si>
  <si>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</si>
  <si>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TRK53964711</t>
  </si>
  <si>
    <t>ORD201135</t>
  </si>
  <si>
    <t>C11473</t>
  </si>
  <si>
    <t>TRK97793275</t>
  </si>
  <si>
    <t>ORD201136</t>
  </si>
  <si>
    <t>C71899</t>
  </si>
  <si>
    <t>TRK34856025</t>
  </si>
  <si>
    <t>ORD201137</t>
  </si>
  <si>
    <t>C48577</t>
  </si>
  <si>
    <t>TRK59911645</t>
  </si>
  <si>
    <t>ORD201138</t>
  </si>
  <si>
    <t>C13100</t>
  </si>
  <si>
    <t>TRK55565668</t>
  </si>
  <si>
    <t>ORD201139</t>
  </si>
  <si>
    <t>TRK28290825</t>
  </si>
  <si>
    <t>ORD201140</t>
  </si>
  <si>
    <t>C49838</t>
  </si>
  <si>
    <t>TRK38297718</t>
  </si>
  <si>
    <t>ORD201141</t>
  </si>
  <si>
    <t>C11998</t>
  </si>
  <si>
    <t>TRK26707221</t>
  </si>
  <si>
    <t>ORD201142</t>
  </si>
  <si>
    <t>C23405</t>
  </si>
  <si>
    <t>TRK83678708</t>
  </si>
  <si>
    <t>ORD201143</t>
  </si>
  <si>
    <t>C41132</t>
  </si>
  <si>
    <t>TRK51040137</t>
  </si>
  <si>
    <t>ORD201144</t>
  </si>
  <si>
    <t>C88463</t>
  </si>
  <si>
    <t>TRK88749996</t>
  </si>
  <si>
    <t>ORD201145</t>
  </si>
  <si>
    <t>C28152</t>
  </si>
  <si>
    <t>TRK59642814</t>
  </si>
  <si>
    <t>ORD201146</t>
  </si>
  <si>
    <t>C36383</t>
  </si>
  <si>
    <t>TRK93336357</t>
  </si>
  <si>
    <t>ORD201147</t>
  </si>
  <si>
    <t>C19759</t>
  </si>
  <si>
    <t>TRK22515454</t>
  </si>
  <si>
    <t>ORD201148</t>
  </si>
  <si>
    <t>C54886</t>
  </si>
  <si>
    <t>TRK66241930</t>
  </si>
  <si>
    <t>ORD201149</t>
  </si>
  <si>
    <t>C27305</t>
  </si>
  <si>
    <t>TRK28789916</t>
  </si>
  <si>
    <t>ORD201150</t>
  </si>
  <si>
    <t>C17921</t>
  </si>
  <si>
    <t>TRK79291524</t>
  </si>
  <si>
    <t>ORD201151</t>
  </si>
  <si>
    <t>C94381</t>
  </si>
  <si>
    <t>TRK69804304</t>
  </si>
  <si>
    <t>ORD201152</t>
  </si>
  <si>
    <t>C25162</t>
  </si>
  <si>
    <t>TRK42183078</t>
  </si>
  <si>
    <t>ORD201153</t>
  </si>
  <si>
    <t>C98317</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</si>
  <si>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</si>
  <si>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</si>
  <si>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</si>
  <si>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</si>
  <si>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</si>
  <si>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</si>
  <si>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</si>
  <si>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</si>
  <si>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</si>
  <si>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</si>
  <si>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</si>
  <si>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</si>
  <si>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</si>
  <si>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</si>
  <si>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</si>
  <si>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</si>
  <si>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</si>
  <si>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</si>
  <si>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</si>
  <si>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</si>
  <si>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</si>
  <si>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</si>
  <si>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</si>
  <si>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</si>
  <si>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</si>
  <si>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</si>
  <si>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</si>
  <si>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TRK33125798</t>
  </si>
  <si>
    <t>ORD201163</t>
  </si>
  <si>
    <t>C30643</t>
  </si>
  <si>
    <t>TRK19477485</t>
  </si>
  <si>
    <t>ORD201164</t>
  </si>
  <si>
    <t>C65890</t>
  </si>
  <si>
    <t>TRK64530489</t>
  </si>
  <si>
    <t>ORD201165</t>
  </si>
  <si>
    <t>C36992</t>
  </si>
  <si>
    <t>TRK63460217</t>
  </si>
  <si>
    <t>ORD201166</t>
  </si>
  <si>
    <t>C95568</t>
  </si>
  <si>
    <t>TRK37075292</t>
  </si>
  <si>
    <t>ORD201167</t>
  </si>
  <si>
    <t>C17966</t>
  </si>
  <si>
    <t>TRK31169396</t>
  </si>
  <si>
    <t>ORD201168</t>
  </si>
  <si>
    <t>C89559</t>
  </si>
  <si>
    <t>TRK82838108</t>
  </si>
  <si>
    <t>ORD201169</t>
  </si>
  <si>
    <t>C15849</t>
  </si>
  <si>
    <t>TRK26794546</t>
  </si>
  <si>
    <t>ORD201170</t>
  </si>
  <si>
    <t>C94257</t>
  </si>
  <si>
    <t>TRK40220743</t>
  </si>
  <si>
    <t>ORD201171</t>
  </si>
  <si>
    <t>C39911</t>
  </si>
  <si>
    <t>TRK80431998</t>
  </si>
  <si>
    <t>ORD201172</t>
  </si>
  <si>
    <t>C28828</t>
  </si>
  <si>
    <t>TRK32550359</t>
  </si>
  <si>
    <t>ORD201173</t>
  </si>
  <si>
    <t>C82921</t>
  </si>
  <si>
    <t>TRK31079911</t>
  </si>
  <si>
    <t>ORD201174</t>
  </si>
  <si>
    <t>C50159</t>
  </si>
  <si>
    <t>TRK53737452</t>
  </si>
  <si>
    <t>ORD201175</t>
  </si>
  <si>
    <t>C62512</t>
  </si>
  <si>
    <t>TRK24139954</t>
  </si>
  <si>
    <t>ORD201176</t>
  </si>
  <si>
    <t>C39260</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</si>
  <si>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</si>
  <si>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</si>
  <si>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</si>
  <si>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</si>
  <si>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</si>
  <si>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</si>
  <si>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</si>
  <si>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</si>
  <si>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</si>
  <si>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</si>
  <si>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</si>
  <si>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</si>
  <si>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</si>
  <si>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</si>
  <si>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</si>
  <si>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</si>
  <si>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</si>
  <si>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</si>
  <si>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</si>
  <si>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</si>
  <si>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</si>
  <si>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</si>
  <si>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</si>
  <si>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</si>
  <si>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</si>
  <si>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</si>
  <si>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</si>
  <si>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TRK20605055</t>
  </si>
  <si>
    <t>ORD201186</t>
  </si>
  <si>
    <t>C65497</t>
  </si>
  <si>
    <t>TRK83702761</t>
  </si>
  <si>
    <t>ORD201187</t>
  </si>
  <si>
    <t>C26340</t>
  </si>
  <si>
    <t>TRK59962703</t>
  </si>
  <si>
    <t>ORD201188</t>
  </si>
  <si>
    <t>C75619</t>
  </si>
  <si>
    <t>TRK23086941</t>
  </si>
  <si>
    <t>ORD201189</t>
  </si>
  <si>
    <t>C96136</t>
  </si>
  <si>
    <t>TRK60856682</t>
  </si>
  <si>
    <t>ORD201190</t>
  </si>
  <si>
    <t>C46886</t>
  </si>
  <si>
    <t>TRK82791646</t>
  </si>
  <si>
    <t>ORD201191</t>
  </si>
  <si>
    <t>C44148</t>
  </si>
  <si>
    <t>TRK67872709</t>
  </si>
  <si>
    <t>ORD201192</t>
  </si>
  <si>
    <t>C72007</t>
  </si>
  <si>
    <t>TRK16240916</t>
  </si>
  <si>
    <t>ORD201193</t>
  </si>
  <si>
    <t>C45104</t>
  </si>
  <si>
    <t>TRK38559816</t>
  </si>
  <si>
    <t>ORD201194</t>
  </si>
  <si>
    <t>C29885</t>
  </si>
  <si>
    <t>TRK62067865</t>
  </si>
  <si>
    <t>ORD201195</t>
  </si>
  <si>
    <t>C21126</t>
  </si>
  <si>
    <t>TRK38009181</t>
  </si>
  <si>
    <t>ORD201196</t>
  </si>
  <si>
    <t>C20095</t>
  </si>
  <si>
    <t>TRK69207593</t>
  </si>
  <si>
    <t>ORD201197</t>
  </si>
  <si>
    <t>C79674</t>
  </si>
  <si>
    <t>TRK88039356</t>
  </si>
  <si>
    <t>ORD201198</t>
  </si>
  <si>
    <t>C64753</t>
  </si>
  <si>
    <t>TRK71683331</t>
  </si>
  <si>
    <t>ORD201199</t>
  </si>
  <si>
    <t>C57502</t>
  </si>
  <si>
    <t>TRK51116746</t>
  </si>
  <si>
    <t>Row Labels</t>
  </si>
  <si>
    <t>Grand Total</t>
  </si>
  <si>
    <t>Sum of Quantity</t>
  </si>
  <si>
    <t>Total Price</t>
  </si>
  <si>
    <t>Discount</t>
  </si>
  <si>
    <t>Discount Amount</t>
  </si>
  <si>
    <t>Net Price</t>
  </si>
  <si>
    <t xml:space="preserve">Total Revenue </t>
  </si>
  <si>
    <t>Sum of Total Price</t>
  </si>
  <si>
    <t xml:space="preserve"> </t>
  </si>
  <si>
    <t>Order Status</t>
  </si>
  <si>
    <t xml:space="preserve">AVG. Discount </t>
  </si>
  <si>
    <t>Average of Discount</t>
  </si>
  <si>
    <t>2023</t>
  </si>
  <si>
    <t>2024</t>
  </si>
  <si>
    <t>2025</t>
  </si>
  <si>
    <t>Average of Discount Amount</t>
  </si>
  <si>
    <t>Count of Product</t>
  </si>
  <si>
    <t>Sum of Net Price</t>
  </si>
  <si>
    <t>RELIANCE DIGITAL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</si>
</sst>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quot;M&quot;"/>
    <numFmt numFmtId="166" formatCode="&quot;₹&quot;0.00,&quot;K&quot;"/>
  </numFmts>
  <fonts count="4" x14ac:knownFonts="1">
    <font>
      <sz val="11"/>
      <color theme="1"/>
      <name val="Calibri"/>
      <family val="2"/>
      <scheme val="minor"/>
    </font>
    <font>
      <b/>
      <sz val="11"/>
      <color theme="1"/>
      <name val="Calibri"/>
      <family val="2"/>
      <scheme val="minor"/>
    </font>
    <font>
      <sz val="11"/>
      <color theme="1"/>
      <name val="Calibri"/>
      <family val="2"/>
      <scheme val="minor"/>
    </font>
    <font>
      <b/>
      <i/>
      <sz val="40"/>
      <color rgb="FFFFFFFF"/>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64" fontId="0" fillId="0" borderId="0" xfId="0" applyNumberFormat="1"/>
    <xf numFmtId="0" fontId="1" fillId="0" borderId="1" xfId="0" applyFont="1" applyBorder="1" applyAlignment="1">
      <alignment horizontal="center" vertical="top"/>
    </xf>
    <xf numFmtId="0" fontId="1" fillId="0" borderId="2" xfId="0" applyFont="1" applyBorder="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center" vertical="top"/>
    </xf>
    <xf numFmtId="165" fontId="1" fillId="2" borderId="2" xfId="0" applyNumberFormat="1" applyFont="1" applyFill="1" applyBorder="1" applyAlignment="1">
      <alignment horizontal="center" vertical="top"/>
    </xf>
    <xf numFmtId="166" fontId="1" fillId="0" borderId="2" xfId="0" applyNumberFormat="1" applyFont="1" applyBorder="1" applyAlignment="1">
      <alignment horizontal="center"/>
    </xf>
    <xf numFmtId="0" fontId="0" fillId="0" borderId="0" xfId="0" applyAlignment="1">
      <alignment horizontal="center" vertical="center"/>
    </xf>
    <xf numFmtId="165" fontId="0" fillId="0" borderId="0" xfId="0" applyNumberFormat="1"/>
    <xf numFmtId="0" fontId="1" fillId="3" borderId="2" xfId="0" applyFont="1" applyFill="1" applyBorder="1" applyAlignment="1">
      <alignment horizontal="center" vertical="top"/>
    </xf>
    <xf numFmtId="0" fontId="1" fillId="3" borderId="2" xfId="0" applyFont="1" applyFill="1" applyBorder="1" applyAlignment="1">
      <alignment horizontal="center" vertical="center"/>
    </xf>
    <xf numFmtId="0" fontId="0" fillId="4" borderId="3" xfId="0" applyFill="1" applyBorder="1"/>
    <xf numFmtId="0" fontId="0" fillId="5" borderId="3" xfId="0" applyFill="1" applyBorder="1"/>
    <xf numFmtId="0" fontId="0" fillId="5" borderId="4" xfId="0" applyFill="1" applyBorder="1"/>
    <xf numFmtId="10" fontId="1" fillId="0" borderId="2" xfId="1" applyNumberFormat="1" applyFont="1" applyBorder="1" applyAlignment="1">
      <alignment horizontal="center"/>
    </xf>
    <xf numFmtId="165" fontId="1" fillId="0" borderId="2" xfId="0" applyNumberFormat="1" applyFont="1" applyBorder="1" applyAlignment="1">
      <alignment horizontal="center"/>
    </xf>
    <xf numFmtId="10" fontId="0" fillId="0" borderId="0" xfId="1" applyNumberFormat="1" applyFont="1"/>
    <xf numFmtId="166" fontId="0" fillId="0" borderId="0" xfId="0" applyNumberFormat="1"/>
    <xf numFmtId="0" fontId="0" fillId="0" borderId="0" xfId="1" applyNumberFormat="1" applyFont="1" applyAlignment="1">
      <alignment horizontal="center" vertical="center"/>
    </xf>
    <xf numFmtId="0" fontId="0" fillId="0" borderId="0" xfId="1" applyNumberFormat="1" applyFont="1"/>
    <xf numFmtId="0" fontId="3" fillId="0" borderId="0" xfId="0" applyFont="1"/>
    <xf numFmtId="0" fontId="0" fillId="5" borderId="5" xfId="0" applyFill="1" applyBorder="1"/>
    <xf numFmtId="0" fontId="0" fillId="0" borderId="0" xfId="0" applyNumberFormat="1"/>
  </cellXfs>
  <cellStyles count="2">
    <cellStyle name="Normal" xfId="0" builtinId="0"/>
    <cellStyle name="Percent" xfId="1" builtinId="5"/>
  </cellStyles>
  <dxfs count="90">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165" formatCode="&quot;₹&quot;0.00,,&quot;M&quot;"/>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0" formatCode="General"/>
    </dxf>
    <dxf>
      <numFmt numFmtId="0" formatCode="General"/>
    </dxf>
    <dxf>
      <numFmt numFmtId="164" formatCode="yyyy\-mm\-dd"/>
    </dxf>
    <dxf>
      <border outline="0">
        <top style="thin">
          <color auto="1"/>
        </top>
      </border>
    </dxf>
    <dxf>
      <border outline="0">
        <bottom style="thin">
          <color auto="1"/>
        </bottom>
      </border>
    </dxf>
    <dxf>
      <font>
        <b/>
        <strike val="0"/>
        <condense val="0"/>
        <extend val="0"/>
        <outline val="0"/>
        <shadow val="0"/>
        <vertAlign val="baseline"/>
        <sz val="11"/>
        <color theme="1"/>
        <name val="Calibri"/>
        <family val="2"/>
        <scheme val="minor"/>
      </font>
      <alignment horizontal="center" vertical="top"/>
      <border outline="0">
        <left style="thin">
          <color auto="1"/>
        </left>
        <right style="thin">
          <color auto="1"/>
        </right>
        <top/>
        <bottom/>
      </border>
    </dxf>
    <dxf>
      <font>
        <color theme="1"/>
      </font>
      <border>
        <bottom style="thin">
          <color theme="5"/>
        </bottom>
        <vertical/>
        <horizontal/>
      </border>
    </dxf>
    <dxf>
      <font>
        <b/>
        <i val="0"/>
        <color theme="0"/>
        <name val="Cambria"/>
        <family val="1"/>
        <scheme val="major"/>
      </font>
      <fill>
        <patternFill>
          <bgColor rgb="FFEAF4FB"/>
        </patternFill>
      </fill>
      <border>
        <left style="thin">
          <color theme="5"/>
        </left>
        <right style="thin">
          <color theme="5"/>
        </right>
        <top style="thin">
          <color theme="5"/>
        </top>
        <bottom style="thin">
          <color theme="5"/>
        </bottom>
        <vertical/>
        <horizontal/>
      </border>
    </dxf>
    <dxf>
      <font>
        <b/>
        <i val="0"/>
        <color theme="0"/>
        <name val="Cambria"/>
        <family val="1"/>
        <scheme val="major"/>
      </font>
      <fill>
        <patternFill>
          <fgColor rgb="FFFF0000"/>
          <bgColor theme="4"/>
        </patternFill>
      </fill>
    </dxf>
    <dxf>
      <font>
        <color theme="0"/>
      </font>
      <fill>
        <patternFill>
          <bgColor theme="4"/>
        </patternFill>
      </fill>
    </dxf>
    <dxf>
      <font>
        <color theme="0"/>
      </font>
      <fill>
        <patternFill>
          <bgColor theme="4"/>
        </patternFill>
      </fill>
    </dxf>
  </dxfs>
  <tableStyles count="4" defaultTableStyle="TableStyleMedium9" defaultPivotStyle="PivotStyleLight16">
    <tableStyle name="Slicer Style 1" pivot="0" table="0" count="1" xr9:uid="{EC901D57-44A4-44A4-8B42-1A7983AB4575}">
      <tableStyleElement type="wholeTable" dxfId="89"/>
    </tableStyle>
    <tableStyle name="Slicer Style 2" pivot="0" table="0" count="1" xr9:uid="{75061048-45DA-4DDF-B691-E964A9F434B6}">
      <tableStyleElement type="wholeTable" dxfId="88"/>
    </tableStyle>
    <tableStyle name="Slicer Style 3" pivot="0" table="0" count="1" xr9:uid="{76D8CBB8-CCDA-459E-96FA-5D9373809471}">
      <tableStyleElement type="wholeTable" dxfId="87"/>
    </tableStyle>
    <tableStyle name="SlicerStyleDark2 2" pivot="0" table="0" count="10" xr9:uid="{14B26205-AA6C-4426-A0A9-5874A060C9A2}">
      <tableStyleElement type="wholeTable" dxfId="86"/>
      <tableStyleElement type="headerRow" dxfId="85"/>
    </tableStyle>
  </tableStyles>
  <colors>
    <mruColors>
      <color rgb="FFEAF4FB"/>
      <color rgb="FF003B70"/>
      <color rgb="FFFF5050"/>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1"/>
          </font>
          <fill>
            <patternFill patternType="solid">
              <fgColor theme="5"/>
              <bgColor theme="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Digital Sales Dashboard.xlsx]Pivot Table!Productwise total price</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i="1">
                <a:solidFill>
                  <a:schemeClr val="bg1"/>
                </a:solidFill>
              </a:rPr>
              <a:t>PRODUCTWISE TOTAL SALES</a:t>
            </a:r>
          </a:p>
        </c:rich>
      </c:tx>
      <c:layout>
        <c:manualLayout>
          <c:xMode val="edge"/>
          <c:yMode val="edge"/>
          <c:x val="0.29591892635480749"/>
          <c:y val="0"/>
        </c:manualLayout>
      </c:layout>
      <c:overlay val="0"/>
      <c:spPr>
        <a:solidFill>
          <a:srgbClr val="003B70"/>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dLbl>
          <c:idx val="0"/>
          <c:layout>
            <c:manualLayout>
              <c:x val="8.3333333333333332E-3"/>
              <c:y val="-0.185191746864975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1.1111111111111112E-2"/>
              <c:y val="-0.2592552493438320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1.3888888888888864E-2"/>
              <c:y val="-6.48534558180227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1.6666666666666666E-2"/>
              <c:y val="-0.171303951589384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dLbl>
          <c:idx val="0"/>
          <c:layout>
            <c:manualLayout>
              <c:x val="1.6666666666666566E-2"/>
              <c:y val="-7.872229512977553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dLbl>
          <c:idx val="0"/>
          <c:layout>
            <c:manualLayout>
              <c:x val="1.6666666666666566E-2"/>
              <c:y val="-7.4094123651210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dLbl>
          <c:idx val="0"/>
          <c:layout>
            <c:manualLayout>
              <c:x val="1.6666666666666666E-2"/>
              <c:y val="-9.260936132983377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dLbl>
          <c:idx val="0"/>
          <c:layout>
            <c:manualLayout>
              <c:x val="1.1111111111111112E-2"/>
              <c:y val="-0.2592552493438320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dLbl>
          <c:idx val="0"/>
          <c:layout>
            <c:manualLayout>
              <c:x val="1.3888888888888864E-2"/>
              <c:y val="-6.48534558180227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dLbl>
          <c:idx val="0"/>
          <c:layout>
            <c:manualLayout>
              <c:x val="1.6666666666666666E-2"/>
              <c:y val="-0.171303951589384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a:sp3d/>
        </c:spPr>
        <c:dLbl>
          <c:idx val="0"/>
          <c:layout>
            <c:manualLayout>
              <c:x val="1.6666666666666566E-2"/>
              <c:y val="-7.872229512977553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a:sp3d/>
        </c:spPr>
        <c:dLbl>
          <c:idx val="0"/>
          <c:layout>
            <c:manualLayout>
              <c:x val="1.6666666666666566E-2"/>
              <c:y val="-7.4094123651210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sp3d/>
        </c:spPr>
        <c:dLbl>
          <c:idx val="0"/>
          <c:layout>
            <c:manualLayout>
              <c:x val="1.6666666666666666E-2"/>
              <c:y val="-9.260936132983377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dLbl>
          <c:idx val="0"/>
          <c:layout>
            <c:manualLayout>
              <c:x val="8.3333333333333332E-3"/>
              <c:y val="-0.185191746864975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a:sp3d/>
        </c:spPr>
        <c:dLbl>
          <c:idx val="0"/>
          <c:layout>
            <c:manualLayout>
              <c:x val="1.1111111111111112E-2"/>
              <c:y val="-0.2592552493438320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sp3d/>
        </c:spPr>
        <c:dLbl>
          <c:idx val="0"/>
          <c:layout>
            <c:manualLayout>
              <c:x val="1.3888888888888864E-2"/>
              <c:y val="-6.48534558180227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a:sp3d/>
        </c:spPr>
        <c:dLbl>
          <c:idx val="0"/>
          <c:layout>
            <c:manualLayout>
              <c:x val="1.6666666666666666E-2"/>
              <c:y val="-0.171303951589384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a:sp3d/>
        </c:spPr>
        <c:dLbl>
          <c:idx val="0"/>
          <c:layout>
            <c:manualLayout>
              <c:x val="1.6666666666666566E-2"/>
              <c:y val="-7.872229512977553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a:sp3d/>
        </c:spPr>
        <c:dLbl>
          <c:idx val="0"/>
          <c:layout>
            <c:manualLayout>
              <c:x val="1.6666666666666566E-2"/>
              <c:y val="-7.4094123651210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a:sp3d/>
        </c:spPr>
        <c:dLbl>
          <c:idx val="0"/>
          <c:layout>
            <c:manualLayout>
              <c:x val="1.6666666666666666E-2"/>
              <c:y val="-9.260936132983377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a:sp3d/>
        </c:spPr>
        <c:dLbl>
          <c:idx val="0"/>
          <c:layout>
            <c:manualLayout>
              <c:x val="8.3333333333333332E-3"/>
              <c:y val="-0.185191746864975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a:sp3d/>
        </c:spPr>
        <c:dLbl>
          <c:idx val="0"/>
          <c:layout>
            <c:manualLayout>
              <c:x val="1.1111111111111112E-2"/>
              <c:y val="-0.2592552493438320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a:sp3d/>
        </c:spPr>
        <c:dLbl>
          <c:idx val="0"/>
          <c:layout>
            <c:manualLayout>
              <c:x val="1.3888888888888864E-2"/>
              <c:y val="-6.48534558180227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0000"/>
          </a:solidFill>
          <a:ln>
            <a:noFill/>
          </a:ln>
          <a:effectLst/>
          <a:sp3d/>
        </c:spPr>
        <c:dLbl>
          <c:idx val="0"/>
          <c:layout>
            <c:manualLayout>
              <c:x val="1.6666666666666666E-2"/>
              <c:y val="-0.171303951589384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0000"/>
          </a:solidFill>
          <a:ln>
            <a:noFill/>
          </a:ln>
          <a:effectLst/>
          <a:sp3d/>
        </c:spPr>
        <c:dLbl>
          <c:idx val="0"/>
          <c:layout>
            <c:manualLayout>
              <c:x val="1.6666666666666566E-2"/>
              <c:y val="-7.872229512977553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a:sp3d/>
        </c:spPr>
        <c:dLbl>
          <c:idx val="0"/>
          <c:layout>
            <c:manualLayout>
              <c:x val="1.6666666666666566E-2"/>
              <c:y val="-7.4094123651210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0000"/>
          </a:solidFill>
          <a:ln>
            <a:noFill/>
          </a:ln>
          <a:effectLst/>
          <a:sp3d/>
        </c:spPr>
        <c:dLbl>
          <c:idx val="0"/>
          <c:layout>
            <c:manualLayout>
              <c:x val="1.6666666666666666E-2"/>
              <c:y val="-9.260936132983377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a:sp3d/>
        </c:spPr>
        <c:dLbl>
          <c:idx val="0"/>
          <c:layout>
            <c:manualLayout>
              <c:x val="8.3333333333333332E-3"/>
              <c:y val="-0.185191746864975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0000"/>
          </a:solidFill>
          <a:ln>
            <a:noFill/>
          </a:ln>
          <a:effectLst/>
          <a:sp3d/>
        </c:spPr>
        <c:dLbl>
          <c:idx val="0"/>
          <c:layout>
            <c:manualLayout>
              <c:x val="1.3543502288596205E-2"/>
              <c:y val="-0.301043316659833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a:sp3d/>
        </c:spPr>
        <c:dLbl>
          <c:idx val="0"/>
          <c:layout>
            <c:manualLayout>
              <c:x val="1.3888888888888864E-2"/>
              <c:y val="-6.485345581802275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a:sp3d/>
        </c:spPr>
        <c:dLbl>
          <c:idx val="0"/>
          <c:layout>
            <c:manualLayout>
              <c:x val="1.6666666666666666E-2"/>
              <c:y val="-0.171303951589384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a:sp3d/>
        </c:spPr>
        <c:dLbl>
          <c:idx val="0"/>
          <c:layout>
            <c:manualLayout>
              <c:x val="1.6666666666666566E-2"/>
              <c:y val="-7.87222951297755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a:sp3d/>
        </c:spPr>
        <c:dLbl>
          <c:idx val="0"/>
          <c:layout>
            <c:manualLayout>
              <c:x val="1.6666666666666566E-2"/>
              <c:y val="-7.40941236512102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a:sp3d/>
        </c:spPr>
        <c:dLbl>
          <c:idx val="0"/>
          <c:layout>
            <c:manualLayout>
              <c:x val="1.6666666666666666E-2"/>
              <c:y val="-9.2609361329833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a:sp3d/>
        </c:spPr>
        <c:dLbl>
          <c:idx val="0"/>
          <c:layout>
            <c:manualLayout>
              <c:x val="8.3333333333333332E-3"/>
              <c:y val="-0.18519174686497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0000"/>
          </a:solidFill>
          <a:ln>
            <a:noFill/>
          </a:ln>
          <a:effectLst/>
          <a:sp3d/>
        </c:spPr>
        <c:dLbl>
          <c:idx val="0"/>
          <c:layout>
            <c:manualLayout>
              <c:x val="1.3543502288596205E-2"/>
              <c:y val="-0.301043316659833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F0000"/>
          </a:solidFill>
          <a:ln>
            <a:noFill/>
          </a:ln>
          <a:effectLst/>
          <a:sp3d/>
        </c:spPr>
        <c:dLbl>
          <c:idx val="0"/>
          <c:layout>
            <c:manualLayout>
              <c:x val="1.3888888888888864E-2"/>
              <c:y val="-6.485345581802275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a:sp3d/>
        </c:spPr>
        <c:dLbl>
          <c:idx val="0"/>
          <c:layout>
            <c:manualLayout>
              <c:x val="1.6666666666666666E-2"/>
              <c:y val="-0.171303951589384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a:sp3d/>
        </c:spPr>
        <c:dLbl>
          <c:idx val="0"/>
          <c:layout>
            <c:manualLayout>
              <c:x val="1.6666666666666566E-2"/>
              <c:y val="-7.87222951297755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0000"/>
          </a:solidFill>
          <a:ln>
            <a:noFill/>
          </a:ln>
          <a:effectLst/>
          <a:sp3d/>
        </c:spPr>
        <c:dLbl>
          <c:idx val="0"/>
          <c:layout>
            <c:manualLayout>
              <c:x val="1.6666666666666566E-2"/>
              <c:y val="-7.40941236512102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a:sp3d/>
        </c:spPr>
        <c:dLbl>
          <c:idx val="0"/>
          <c:layout>
            <c:manualLayout>
              <c:x val="1.6666666666666666E-2"/>
              <c:y val="-9.2609361329833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0000"/>
          </a:solidFill>
          <a:ln>
            <a:noFill/>
          </a:ln>
          <a:effectLst/>
          <a:sp3d/>
        </c:spPr>
        <c:dLbl>
          <c:idx val="0"/>
          <c:layout>
            <c:manualLayout>
              <c:x val="8.3333333333333332E-3"/>
              <c:y val="-0.18519174686497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FF0000"/>
          </a:solidFill>
          <a:ln>
            <a:noFill/>
          </a:ln>
          <a:effectLst/>
          <a:sp3d/>
        </c:spPr>
        <c:marker>
          <c:symbol val="none"/>
        </c:marker>
        <c:dLbl>
          <c:idx val="0"/>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0000"/>
          </a:solidFill>
          <a:ln>
            <a:noFill/>
          </a:ln>
          <a:effectLst/>
          <a:sp3d/>
        </c:spPr>
        <c:dLbl>
          <c:idx val="0"/>
          <c:layout>
            <c:manualLayout>
              <c:x val="1.5463278605659641E-2"/>
              <c:y val="-0.32475632788195319"/>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a:sp3d/>
        </c:spPr>
        <c:dLbl>
          <c:idx val="0"/>
          <c:layout>
            <c:manualLayout>
              <c:x val="1.3888956070732773E-2"/>
              <c:y val="-0.1004226938321803"/>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a:sp3d/>
        </c:spPr>
        <c:dLbl>
          <c:idx val="0"/>
          <c:layout>
            <c:manualLayout>
              <c:x val="1.666665658939008E-2"/>
              <c:y val="-0.21477751080852059"/>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a:sp3d/>
        </c:spPr>
        <c:dLbl>
          <c:idx val="0"/>
          <c:layout>
            <c:manualLayout>
              <c:x val="1.666665658939008E-2"/>
              <c:y val="-9.848302611814079E-2"/>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a:sp3d/>
        </c:spPr>
        <c:dLbl>
          <c:idx val="0"/>
          <c:layout>
            <c:manualLayout>
              <c:x val="1.6666666666666566E-2"/>
              <c:y val="-7.4094123651210264E-2"/>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a:sp3d/>
        </c:spPr>
        <c:dLbl>
          <c:idx val="0"/>
          <c:layout>
            <c:manualLayout>
              <c:x val="1.666665658939008E-2"/>
              <c:y val="-0.12027433554788844"/>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a:sp3d/>
        </c:spPr>
        <c:dLbl>
          <c:idx val="0"/>
          <c:layout>
            <c:manualLayout>
              <c:x val="8.3334038742694481E-3"/>
              <c:y val="-0.20890467122896764"/>
            </c:manualLayout>
          </c:layout>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solidFill>
            <a:schemeClr val="bg1"/>
          </a:solidFill>
        </a:ln>
        <a:effectLst/>
        <a:sp3d contourW="25400">
          <a:contourClr>
            <a:schemeClr val="bg1"/>
          </a:contourClr>
        </a:sp3d>
      </c:spPr>
    </c:sideWall>
    <c:backWall>
      <c:thickness val="0"/>
      <c:spPr>
        <a:noFill/>
        <a:ln w="25400">
          <a:solidFill>
            <a:schemeClr val="bg1"/>
          </a:solidFill>
        </a:ln>
        <a:effectLst/>
        <a:sp3d contourW="25400">
          <a:contourClr>
            <a:schemeClr val="bg1"/>
          </a:contourClr>
        </a:sp3d>
      </c:spPr>
    </c:backWall>
    <c:plotArea>
      <c:layout>
        <c:manualLayout>
          <c:layoutTarget val="inner"/>
          <c:xMode val="edge"/>
          <c:yMode val="edge"/>
          <c:x val="0.10062780474841639"/>
          <c:y val="0.12154469633198202"/>
          <c:w val="0.86324440333570973"/>
          <c:h val="0.62417164170843331"/>
        </c:manualLayout>
      </c:layout>
      <c:bar3DChart>
        <c:barDir val="col"/>
        <c:grouping val="stacked"/>
        <c:varyColors val="0"/>
        <c:ser>
          <c:idx val="0"/>
          <c:order val="0"/>
          <c:tx>
            <c:strRef>
              <c:f>'Pivot Table'!$B$3</c:f>
              <c:strCache>
                <c:ptCount val="1"/>
                <c:pt idx="0">
                  <c:v>Total</c:v>
                </c:pt>
              </c:strCache>
            </c:strRef>
          </c:tx>
          <c:spPr>
            <a:solidFill>
              <a:srgbClr val="FF0000"/>
            </a:solidFill>
            <a:ln>
              <a:noFill/>
            </a:ln>
            <a:effectLst/>
            <a:sp3d/>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1-1362-4716-994A-1681CA6BA408}"/>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3-1362-4716-994A-1681CA6BA408}"/>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5-1362-4716-994A-1681CA6BA408}"/>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7-1362-4716-994A-1681CA6BA408}"/>
              </c:ext>
            </c:extLst>
          </c:dPt>
          <c:dPt>
            <c:idx val="4"/>
            <c:invertIfNegative val="0"/>
            <c:bubble3D val="0"/>
            <c:spPr>
              <a:solidFill>
                <a:srgbClr val="FF0000"/>
              </a:solidFill>
              <a:ln>
                <a:noFill/>
              </a:ln>
              <a:effectLst/>
              <a:sp3d/>
            </c:spPr>
            <c:extLst>
              <c:ext xmlns:c16="http://schemas.microsoft.com/office/drawing/2014/chart" uri="{C3380CC4-5D6E-409C-BE32-E72D297353CC}">
                <c16:uniqueId val="{00000009-1362-4716-994A-1681CA6BA408}"/>
              </c:ext>
            </c:extLst>
          </c:dPt>
          <c:dPt>
            <c:idx val="5"/>
            <c:invertIfNegative val="0"/>
            <c:bubble3D val="0"/>
            <c:spPr>
              <a:solidFill>
                <a:srgbClr val="FF0000"/>
              </a:solidFill>
              <a:ln>
                <a:noFill/>
              </a:ln>
              <a:effectLst/>
              <a:sp3d/>
            </c:spPr>
            <c:extLst>
              <c:ext xmlns:c16="http://schemas.microsoft.com/office/drawing/2014/chart" uri="{C3380CC4-5D6E-409C-BE32-E72D297353CC}">
                <c16:uniqueId val="{0000000B-1362-4716-994A-1681CA6BA408}"/>
              </c:ext>
            </c:extLst>
          </c:dPt>
          <c:dPt>
            <c:idx val="6"/>
            <c:invertIfNegative val="0"/>
            <c:bubble3D val="0"/>
            <c:spPr>
              <a:solidFill>
                <a:srgbClr val="FF0000"/>
              </a:solidFill>
              <a:ln>
                <a:noFill/>
              </a:ln>
              <a:effectLst/>
              <a:sp3d/>
            </c:spPr>
            <c:extLst>
              <c:ext xmlns:c16="http://schemas.microsoft.com/office/drawing/2014/chart" uri="{C3380CC4-5D6E-409C-BE32-E72D297353CC}">
                <c16:uniqueId val="{0000000D-1362-4716-994A-1681CA6BA408}"/>
              </c:ext>
            </c:extLst>
          </c:dPt>
          <c:dLbls>
            <c:dLbl>
              <c:idx val="0"/>
              <c:layout>
                <c:manualLayout>
                  <c:x val="1.5463278605659641E-2"/>
                  <c:y val="-0.324756327881953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62-4716-994A-1681CA6BA408}"/>
                </c:ext>
              </c:extLst>
            </c:dLbl>
            <c:dLbl>
              <c:idx val="1"/>
              <c:layout>
                <c:manualLayout>
                  <c:x val="1.3888956070732773E-2"/>
                  <c:y val="-0.10042269383218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62-4716-994A-1681CA6BA408}"/>
                </c:ext>
              </c:extLst>
            </c:dLbl>
            <c:dLbl>
              <c:idx val="2"/>
              <c:layout>
                <c:manualLayout>
                  <c:x val="1.666665658939008E-2"/>
                  <c:y val="-0.21477751080852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62-4716-994A-1681CA6BA408}"/>
                </c:ext>
              </c:extLst>
            </c:dLbl>
            <c:dLbl>
              <c:idx val="3"/>
              <c:layout>
                <c:manualLayout>
                  <c:x val="1.666665658939008E-2"/>
                  <c:y val="-9.848302611814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62-4716-994A-1681CA6BA408}"/>
                </c:ext>
              </c:extLst>
            </c:dLbl>
            <c:dLbl>
              <c:idx val="4"/>
              <c:layout>
                <c:manualLayout>
                  <c:x val="1.6666666666666566E-2"/>
                  <c:y val="-7.40941236512102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362-4716-994A-1681CA6BA408}"/>
                </c:ext>
              </c:extLst>
            </c:dLbl>
            <c:dLbl>
              <c:idx val="5"/>
              <c:layout>
                <c:manualLayout>
                  <c:x val="1.666665658939008E-2"/>
                  <c:y val="-0.12027433554788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362-4716-994A-1681CA6BA408}"/>
                </c:ext>
              </c:extLst>
            </c:dLbl>
            <c:dLbl>
              <c:idx val="6"/>
              <c:layout>
                <c:manualLayout>
                  <c:x val="8.3334038742694481E-3"/>
                  <c:y val="-0.20890467122896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362-4716-994A-1681CA6BA408}"/>
                </c:ext>
              </c:extLst>
            </c:dLbl>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Table'!$A$4:$A$11</c:f>
              <c:strCache>
                <c:ptCount val="7"/>
                <c:pt idx="0">
                  <c:v>Laptop</c:v>
                </c:pt>
                <c:pt idx="1">
                  <c:v>Monitor</c:v>
                </c:pt>
                <c:pt idx="2">
                  <c:v>Phone</c:v>
                </c:pt>
                <c:pt idx="3">
                  <c:v>Printer</c:v>
                </c:pt>
                <c:pt idx="4">
                  <c:v>Refrigerator</c:v>
                </c:pt>
                <c:pt idx="5">
                  <c:v>Tablet</c:v>
                </c:pt>
                <c:pt idx="6">
                  <c:v>TV</c:v>
                </c:pt>
              </c:strCache>
            </c:strRef>
          </c:cat>
          <c:val>
            <c:numRef>
              <c:f>'Pivot Table'!$B$4:$B$11</c:f>
              <c:numCache>
                <c:formatCode>"₹"0.00,,"M"</c:formatCode>
                <c:ptCount val="7"/>
                <c:pt idx="0">
                  <c:v>17297776</c:v>
                </c:pt>
                <c:pt idx="1">
                  <c:v>1951277</c:v>
                </c:pt>
                <c:pt idx="2">
                  <c:v>9813343</c:v>
                </c:pt>
                <c:pt idx="3">
                  <c:v>2607326</c:v>
                </c:pt>
                <c:pt idx="4">
                  <c:v>1743613</c:v>
                </c:pt>
                <c:pt idx="5">
                  <c:v>3758917</c:v>
                </c:pt>
                <c:pt idx="6">
                  <c:v>10587432</c:v>
                </c:pt>
              </c:numCache>
            </c:numRef>
          </c:val>
          <c:extLst>
            <c:ext xmlns:c16="http://schemas.microsoft.com/office/drawing/2014/chart" uri="{C3380CC4-5D6E-409C-BE32-E72D297353CC}">
              <c16:uniqueId val="{0000000E-1362-4716-994A-1681CA6BA408}"/>
            </c:ext>
          </c:extLst>
        </c:ser>
        <c:dLbls>
          <c:showLegendKey val="0"/>
          <c:showVal val="1"/>
          <c:showCatName val="0"/>
          <c:showSerName val="0"/>
          <c:showPercent val="0"/>
          <c:showBubbleSize val="0"/>
        </c:dLbls>
        <c:gapWidth val="79"/>
        <c:shape val="box"/>
        <c:axId val="708032847"/>
        <c:axId val="708034287"/>
        <c:axId val="0"/>
      </c:bar3DChart>
      <c:catAx>
        <c:axId val="70803284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endParaRPr lang="en-US"/>
          </a:p>
        </c:txPr>
        <c:crossAx val="708034287"/>
        <c:crosses val="autoZero"/>
        <c:auto val="1"/>
        <c:lblAlgn val="ctr"/>
        <c:lblOffset val="100"/>
        <c:noMultiLvlLbl val="0"/>
      </c:catAx>
      <c:valAx>
        <c:axId val="708034287"/>
        <c:scaling>
          <c:orientation val="minMax"/>
        </c:scaling>
        <c:delete val="1"/>
        <c:axPos val="l"/>
        <c:numFmt formatCode="&quot;₹&quot;0.00,,&quot;M&quot;" sourceLinked="1"/>
        <c:majorTickMark val="none"/>
        <c:minorTickMark val="none"/>
        <c:tickLblPos val="nextTo"/>
        <c:crossAx val="70803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Digital Sales Dashboard.xlsx]Pivot Table!Productwise total quantity</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i="1">
                <a:solidFill>
                  <a:schemeClr val="bg1"/>
                </a:solidFill>
              </a:rPr>
              <a:t>Total</a:t>
            </a:r>
            <a:r>
              <a:rPr lang="en-US">
                <a:solidFill>
                  <a:schemeClr val="bg1"/>
                </a:solidFill>
              </a:rPr>
              <a:t> </a:t>
            </a:r>
            <a:r>
              <a:rPr lang="en-US" i="1">
                <a:solidFill>
                  <a:schemeClr val="bg1"/>
                </a:solidFill>
              </a:rPr>
              <a:t>Quantity Sold</a:t>
            </a:r>
          </a:p>
        </c:rich>
      </c:tx>
      <c:layout>
        <c:manualLayout>
          <c:xMode val="edge"/>
          <c:yMode val="edge"/>
          <c:x val="0.35482633420822396"/>
          <c:y val="3.2407407407407406E-2"/>
        </c:manualLayout>
      </c:layout>
      <c:overlay val="0"/>
      <c:spPr>
        <a:solidFill>
          <a:srgbClr val="003B70"/>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Table'!$F$3</c:f>
              <c:strCache>
                <c:ptCount val="1"/>
                <c:pt idx="0">
                  <c:v>Total</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Table'!$E$4:$E$11</c:f>
              <c:strCache>
                <c:ptCount val="7"/>
                <c:pt idx="0">
                  <c:v>Laptop</c:v>
                </c:pt>
                <c:pt idx="1">
                  <c:v>Monitor</c:v>
                </c:pt>
                <c:pt idx="2">
                  <c:v>Phone</c:v>
                </c:pt>
                <c:pt idx="3">
                  <c:v>Printer</c:v>
                </c:pt>
                <c:pt idx="4">
                  <c:v>Refrigerator</c:v>
                </c:pt>
                <c:pt idx="5">
                  <c:v>Tablet</c:v>
                </c:pt>
                <c:pt idx="6">
                  <c:v>TV</c:v>
                </c:pt>
              </c:strCache>
            </c:strRef>
          </c:cat>
          <c:val>
            <c:numRef>
              <c:f>'Pivot Table'!$F$4:$F$11</c:f>
              <c:numCache>
                <c:formatCode>General</c:formatCode>
                <c:ptCount val="7"/>
                <c:pt idx="0">
                  <c:v>349</c:v>
                </c:pt>
                <c:pt idx="1">
                  <c:v>335</c:v>
                </c:pt>
                <c:pt idx="2">
                  <c:v>310</c:v>
                </c:pt>
                <c:pt idx="3">
                  <c:v>343</c:v>
                </c:pt>
                <c:pt idx="4">
                  <c:v>323</c:v>
                </c:pt>
                <c:pt idx="5">
                  <c:v>364</c:v>
                </c:pt>
                <c:pt idx="6">
                  <c:v>345</c:v>
                </c:pt>
              </c:numCache>
            </c:numRef>
          </c:val>
          <c:extLst>
            <c:ext xmlns:c16="http://schemas.microsoft.com/office/drawing/2014/chart" uri="{C3380CC4-5D6E-409C-BE32-E72D297353CC}">
              <c16:uniqueId val="{00000000-6627-4927-B522-8AC5F78EEB02}"/>
            </c:ext>
          </c:extLst>
        </c:ser>
        <c:dLbls>
          <c:showLegendKey val="0"/>
          <c:showVal val="1"/>
          <c:showCatName val="0"/>
          <c:showSerName val="0"/>
          <c:showPercent val="0"/>
          <c:showBubbleSize val="0"/>
        </c:dLbls>
        <c:gapWidth val="150"/>
        <c:shape val="box"/>
        <c:axId val="1356215983"/>
        <c:axId val="1356221263"/>
        <c:axId val="0"/>
      </c:bar3DChart>
      <c:catAx>
        <c:axId val="13562159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56221263"/>
        <c:crosses val="autoZero"/>
        <c:auto val="1"/>
        <c:lblAlgn val="ctr"/>
        <c:lblOffset val="100"/>
        <c:noMultiLvlLbl val="0"/>
      </c:catAx>
      <c:valAx>
        <c:axId val="1356221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5621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Digital Sales Dashboard.xlsx]Pivot Table!Yearwise total sales</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i="1"/>
              <a:t>Yearwise</a:t>
            </a:r>
            <a:r>
              <a:rPr lang="en-US" i="1" baseline="0"/>
              <a:t> total sales</a:t>
            </a:r>
            <a:endParaRPr lang="en-US" i="1"/>
          </a:p>
        </c:rich>
      </c:tx>
      <c:overlay val="0"/>
      <c:spPr>
        <a:solidFill>
          <a:srgbClr val="003B70"/>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398388259487959E-2"/>
              <c:y val="-7.71333130883692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0895254417105336E-2"/>
              <c:y val="-8.1954145156392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8109129232771371E-2"/>
              <c:y val="-7.713331308836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398388259487959E-2"/>
              <c:y val="-7.71333130883692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0895254417105336E-2"/>
              <c:y val="-8.1954145156392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8109129232771371E-2"/>
              <c:y val="-7.713331308836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398388259487959E-2"/>
              <c:y val="-7.71333130883692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0895254417105336E-2"/>
              <c:y val="-8.1954145156392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8109129232771371E-2"/>
              <c:y val="-7.713331308836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398388259487959E-2"/>
              <c:y val="-7.71333130883692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0895254417105336E-2"/>
              <c:y val="-8.1954145156392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8109129232771371E-2"/>
              <c:y val="-7.713331308836930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398388259487959E-2"/>
              <c:y val="-7.713331308836926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12549658446168E-2"/>
          <c:y val="0.19629813754149195"/>
          <c:w val="0.94348731791903073"/>
          <c:h val="0.72122007859248716"/>
        </c:manualLayout>
      </c:layout>
      <c:lineChart>
        <c:grouping val="standard"/>
        <c:varyColors val="0"/>
        <c:ser>
          <c:idx val="0"/>
          <c:order val="0"/>
          <c:tx>
            <c:strRef>
              <c:f>'Pivot Table'!$F$15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48CD-424A-96DF-59230DA769E8}"/>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48CD-424A-96DF-59230DA769E8}"/>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48CD-424A-96DF-59230DA769E8}"/>
              </c:ext>
            </c:extLst>
          </c:dPt>
          <c:dLbls>
            <c:dLbl>
              <c:idx val="0"/>
              <c:layout>
                <c:manualLayout>
                  <c:x val="-8.0895254417105336E-2"/>
                  <c:y val="-8.1954145156392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CD-424A-96DF-59230DA769E8}"/>
                </c:ext>
              </c:extLst>
            </c:dLbl>
            <c:dLbl>
              <c:idx val="1"/>
              <c:layout>
                <c:manualLayout>
                  <c:x val="-7.8109129232771371E-2"/>
                  <c:y val="-7.713331308836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CD-424A-96DF-59230DA769E8}"/>
                </c:ext>
              </c:extLst>
            </c:dLbl>
            <c:dLbl>
              <c:idx val="2"/>
              <c:layout>
                <c:manualLayout>
                  <c:x val="-6.3398388259487959E-2"/>
                  <c:y val="-7.7133313088369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CD-424A-96DF-59230DA769E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solidFill>
                    </a:ln>
                    <a:effectLst/>
                  </c:spPr>
                </c15:leaderLines>
              </c:ext>
            </c:extLst>
          </c:dLbls>
          <c:cat>
            <c:strRef>
              <c:f>'Pivot Table'!$E$16:$E$19</c:f>
              <c:strCache>
                <c:ptCount val="3"/>
                <c:pt idx="0">
                  <c:v>2023</c:v>
                </c:pt>
                <c:pt idx="1">
                  <c:v>2024</c:v>
                </c:pt>
                <c:pt idx="2">
                  <c:v>2025</c:v>
                </c:pt>
              </c:strCache>
            </c:strRef>
          </c:cat>
          <c:val>
            <c:numRef>
              <c:f>'Pivot Table'!$F$16:$F$19</c:f>
              <c:numCache>
                <c:formatCode>"₹"0.00,,"M"</c:formatCode>
                <c:ptCount val="3"/>
                <c:pt idx="0">
                  <c:v>20171898</c:v>
                </c:pt>
                <c:pt idx="1">
                  <c:v>17930940</c:v>
                </c:pt>
                <c:pt idx="2">
                  <c:v>9656846</c:v>
                </c:pt>
              </c:numCache>
            </c:numRef>
          </c:val>
          <c:smooth val="0"/>
          <c:extLst>
            <c:ext xmlns:c16="http://schemas.microsoft.com/office/drawing/2014/chart" uri="{C3380CC4-5D6E-409C-BE32-E72D297353CC}">
              <c16:uniqueId val="{00000006-48CD-424A-96DF-59230DA769E8}"/>
            </c:ext>
          </c:extLst>
        </c:ser>
        <c:dLbls>
          <c:dLblPos val="ctr"/>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054656159"/>
        <c:axId val="1054656639"/>
      </c:lineChart>
      <c:catAx>
        <c:axId val="10546561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200" b="1" i="0" u="none" strike="noStrike" kern="1200" spc="100" baseline="0">
                <a:solidFill>
                  <a:schemeClr val="tx1"/>
                </a:solidFill>
                <a:latin typeface="+mn-lt"/>
                <a:ea typeface="+mn-ea"/>
                <a:cs typeface="+mn-cs"/>
              </a:defRPr>
            </a:pPr>
            <a:endParaRPr lang="en-US"/>
          </a:p>
        </c:txPr>
        <c:crossAx val="1054656639"/>
        <c:crosses val="autoZero"/>
        <c:auto val="1"/>
        <c:lblAlgn val="ctr"/>
        <c:lblOffset val="100"/>
        <c:noMultiLvlLbl val="0"/>
      </c:catAx>
      <c:valAx>
        <c:axId val="1054656639"/>
        <c:scaling>
          <c:orientation val="minMax"/>
        </c:scaling>
        <c:delete val="1"/>
        <c:axPos val="l"/>
        <c:numFmt formatCode="&quot;₹&quot;0.00,,&quot;M&quot;" sourceLinked="1"/>
        <c:majorTickMark val="none"/>
        <c:minorTickMark val="none"/>
        <c:tickLblPos val="nextTo"/>
        <c:crossAx val="105465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[Reliance Digital Sales Dashboard.xlsx]Pivot Table!Referalwise total sales</c:name>
    <c:fmtId val="11"/>
  </c:pivotSource>
  <c:chart>
    <c:title>
      <c:tx>
        <c:rich>
          <a:bodyPr rot="0" spcFirstLastPara="1" vertOverflow="ellipsis" vert="horz" wrap="square" anchor="ctr" anchorCtr="1"/>
          <a:lstStyle/>
          <a:p>
            <a:pPr>
              <a:defRPr sz="1600" b="0" i="0" u="none" strike="noStrike" kern="1200" cap="none" spc="20" baseline="0">
                <a:solidFill>
                  <a:schemeClr val="bg1"/>
                </a:solidFill>
                <a:latin typeface="+mn-lt"/>
                <a:ea typeface="+mn-ea"/>
                <a:cs typeface="+mn-cs"/>
              </a:defRPr>
            </a:pPr>
            <a:r>
              <a:rPr lang="en-US" sz="1600" b="1" i="1">
                <a:solidFill>
                  <a:schemeClr val="bg1"/>
                </a:solidFill>
              </a:rPr>
              <a:t>Referalwise Total Sales</a:t>
            </a:r>
          </a:p>
        </c:rich>
      </c:tx>
      <c:overlay val="0"/>
      <c:spPr>
        <a:solidFill>
          <a:srgbClr val="003B70"/>
        </a:solidFill>
        <a:ln>
          <a:noFill/>
        </a:ln>
        <a:effectLst/>
      </c:spPr>
      <c:txPr>
        <a:bodyPr rot="0" spcFirstLastPara="1" vertOverflow="ellipsis" vert="horz" wrap="square" anchor="ctr" anchorCtr="1"/>
        <a:lstStyle/>
        <a:p>
          <a:pPr>
            <a:defRPr sz="1600" b="0" i="0" u="none" strike="noStrike" kern="1200" cap="none" spc="20" baseline="0">
              <a:solidFill>
                <a:schemeClr val="bg1"/>
              </a:solidFill>
              <a:latin typeface="+mn-lt"/>
              <a:ea typeface="+mn-ea"/>
              <a:cs typeface="+mn-cs"/>
            </a:defRPr>
          </a:pPr>
          <a:endParaRPr lang="en-US"/>
        </a:p>
      </c:txPr>
    </c:title>
    <c:autoTitleDeleted val="0"/>
    <c:pivotFmts>
      <c:pivotFmt>
        <c:idx val="0"/>
        <c:spPr>
          <a:solidFill>
            <a:srgbClr val="FF0000"/>
          </a:solidFill>
          <a:ln w="9525" cap="flat" cmpd="sng" algn="ctr">
            <a:solidFill>
              <a:schemeClr val="tx1"/>
            </a:solidFill>
            <a:round/>
          </a:ln>
          <a:effectLst>
            <a:outerShdw blurRad="40000" dist="20000" dir="5400000" rotWithShape="0">
              <a:srgbClr val="000000">
                <a:alpha val="38000"/>
              </a:srgbClr>
            </a:outerShdw>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9525" cap="flat" cmpd="sng" algn="ctr">
            <a:solidFill>
              <a:schemeClr val="tx1"/>
            </a:solidFill>
            <a:round/>
          </a:ln>
          <a:effectLst>
            <a:outerShdw blurRad="40000" dist="20000" dir="5400000" rotWithShape="0">
              <a:srgbClr val="000000">
                <a:alpha val="38000"/>
              </a:srgbClr>
            </a:outerShdw>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chemeClr val="tx1"/>
            </a:solidFill>
            <a:round/>
          </a:ln>
          <a:effectLst>
            <a:outerShdw blurRad="40000" dist="20000" dir="5400000" rotWithShape="0">
              <a:srgbClr val="000000">
                <a:alpha val="38000"/>
              </a:srgbClr>
            </a:outerShdw>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9525" cap="flat" cmpd="sng" algn="ctr">
            <a:solidFill>
              <a:schemeClr val="tx1"/>
            </a:solidFill>
            <a:round/>
          </a:ln>
          <a:effectLst>
            <a:outerShdw blurRad="40000" dist="20000" dir="5400000" rotWithShape="0">
              <a:srgbClr val="000000">
                <a:alpha val="38000"/>
              </a:srgbClr>
            </a:outerShdw>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w="9525" cap="flat" cmpd="sng" algn="ctr">
            <a:solidFill>
              <a:schemeClr val="tx1"/>
            </a:solidFill>
            <a:round/>
          </a:ln>
          <a:effectLst>
            <a:outerShdw blurRad="40000" dist="20000" dir="5400000" rotWithShape="0">
              <a:srgbClr val="000000">
                <a:alpha val="38000"/>
              </a:srgbClr>
            </a:outerShdw>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Table'!$B$16</c:f>
              <c:strCache>
                <c:ptCount val="1"/>
                <c:pt idx="0">
                  <c:v>Total</c:v>
                </c:pt>
              </c:strCache>
            </c:strRef>
          </c:tx>
          <c:spPr>
            <a:solidFill>
              <a:srgbClr val="FF0000"/>
            </a:solidFill>
            <a:ln w="9525" cap="flat" cmpd="sng" algn="ctr">
              <a:solidFill>
                <a:schemeClr val="tx1"/>
              </a:solidFill>
              <a:round/>
            </a:ln>
            <a:effectLst>
              <a:outerShdw blurRad="40000" dist="20000" dir="5400000" rotWithShape="0">
                <a:srgbClr val="000000">
                  <a:alpha val="38000"/>
                </a:srgbClr>
              </a:outerShdw>
            </a:effectLst>
            <a:sp3d contourW="9525">
              <a:contourClr>
                <a:schemeClr val="tx1"/>
              </a:contourClr>
            </a:sp3d>
          </c:spPr>
          <c:invertIfNegative val="0"/>
          <c:cat>
            <c:strRef>
              <c:f>'Pivot Table'!$A$17:$A$22</c:f>
              <c:strCache>
                <c:ptCount val="5"/>
                <c:pt idx="0">
                  <c:v>Email</c:v>
                </c:pt>
                <c:pt idx="1">
                  <c:v>Facebook</c:v>
                </c:pt>
                <c:pt idx="2">
                  <c:v>Google</c:v>
                </c:pt>
                <c:pt idx="3">
                  <c:v>Instagram</c:v>
                </c:pt>
                <c:pt idx="4">
                  <c:v>Referral</c:v>
                </c:pt>
              </c:strCache>
            </c:strRef>
          </c:cat>
          <c:val>
            <c:numRef>
              <c:f>'Pivot Table'!$B$17:$B$22</c:f>
              <c:numCache>
                <c:formatCode>"₹"0.00,,"M"</c:formatCode>
                <c:ptCount val="5"/>
                <c:pt idx="0">
                  <c:v>10421780</c:v>
                </c:pt>
                <c:pt idx="1">
                  <c:v>8582874</c:v>
                </c:pt>
                <c:pt idx="2">
                  <c:v>9978570</c:v>
                </c:pt>
                <c:pt idx="3">
                  <c:v>9965062</c:v>
                </c:pt>
                <c:pt idx="4">
                  <c:v>8811398</c:v>
                </c:pt>
              </c:numCache>
            </c:numRef>
          </c:val>
          <c:extLst>
            <c:ext xmlns:c16="http://schemas.microsoft.com/office/drawing/2014/chart" uri="{C3380CC4-5D6E-409C-BE32-E72D297353CC}">
              <c16:uniqueId val="{00000000-BFC4-4E04-8A12-A065AEBBF5CF}"/>
            </c:ext>
          </c:extLst>
        </c:ser>
        <c:dLbls>
          <c:showLegendKey val="0"/>
          <c:showVal val="0"/>
          <c:showCatName val="0"/>
          <c:showSerName val="0"/>
          <c:showPercent val="0"/>
          <c:showBubbleSize val="0"/>
        </c:dLbls>
        <c:gapWidth val="150"/>
        <c:shape val="box"/>
        <c:axId val="1356219343"/>
        <c:axId val="1356208783"/>
        <c:axId val="0"/>
      </c:bar3DChart>
      <c:catAx>
        <c:axId val="1356219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56208783"/>
        <c:crosses val="autoZero"/>
        <c:auto val="1"/>
        <c:lblAlgn val="ctr"/>
        <c:lblOffset val="100"/>
        <c:noMultiLvlLbl val="0"/>
      </c:catAx>
      <c:valAx>
        <c:axId val="135620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5621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[Reliance Digital Sales Dashboard.xlsx]Pivot Table!Payment modewise total sales</c:name>
    <c:fmtId val="28"/>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i="1">
              <a:solidFill>
                <a:schemeClr val="bg1"/>
              </a:solidFill>
            </a:endParaRPr>
          </a:p>
        </c:rich>
      </c:tx>
      <c:layout>
        <c:manualLayout>
          <c:xMode val="edge"/>
          <c:yMode val="edge"/>
          <c:x val="0.37022888218899541"/>
          <c:y val="0.3528918794854781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2">
                  <a:lumMod val="60000"/>
                  <a:lumOff val="40000"/>
                </a:schemeClr>
              </a:gs>
              <a:gs pos="0">
                <a:schemeClr val="accent2"/>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2">
                  <a:shade val="53000"/>
                  <a:lumMod val="60000"/>
                  <a:lumOff val="40000"/>
                </a:schemeClr>
              </a:gs>
              <a:gs pos="0">
                <a:schemeClr val="accent2">
                  <a:shade val="53000"/>
                </a:schemeClr>
              </a:gs>
            </a:gsLst>
            <a:lin ang="5400000" scaled="0"/>
          </a:gradFill>
          <a:ln w="19050">
            <a:solidFill>
              <a:schemeClr val="lt1"/>
            </a:solidFill>
          </a:ln>
          <a:effectLst/>
        </c:spPr>
      </c:pivotFmt>
      <c:pivotFmt>
        <c:idx val="3"/>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pivotFmt>
      <c:pivotFmt>
        <c:idx val="6"/>
        <c:spPr>
          <a:gradFill>
            <a:gsLst>
              <a:gs pos="100000">
                <a:schemeClr val="accent2">
                  <a:tint val="54000"/>
                  <a:lumMod val="60000"/>
                  <a:lumOff val="40000"/>
                </a:schemeClr>
              </a:gs>
              <a:gs pos="0">
                <a:schemeClr val="accent2">
                  <a:tint val="54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a:gsLst>
              <a:gs pos="100000">
                <a:schemeClr val="accent2">
                  <a:shade val="53000"/>
                  <a:lumMod val="60000"/>
                  <a:lumOff val="40000"/>
                </a:schemeClr>
              </a:gs>
              <a:gs pos="0">
                <a:schemeClr val="accent2">
                  <a:shade val="53000"/>
                </a:schemeClr>
              </a:gs>
            </a:gsLst>
            <a:lin ang="5400000" scaled="0"/>
          </a:gradFill>
          <a:ln w="19050">
            <a:solidFill>
              <a:schemeClr val="lt1"/>
            </a:solidFill>
          </a:ln>
          <a:effectLst/>
        </c:spPr>
      </c:pivotFmt>
      <c:pivotFmt>
        <c:idx val="9"/>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pivotFmt>
      <c:pivotFmt>
        <c:idx val="12"/>
        <c:spPr>
          <a:gradFill>
            <a:gsLst>
              <a:gs pos="100000">
                <a:schemeClr val="accent2">
                  <a:tint val="54000"/>
                  <a:lumMod val="60000"/>
                  <a:lumOff val="40000"/>
                </a:schemeClr>
              </a:gs>
              <a:gs pos="0">
                <a:schemeClr val="accent2">
                  <a:tint val="54000"/>
                </a:schemeClr>
              </a:gs>
            </a:gsLst>
            <a:lin ang="5400000" scaled="0"/>
          </a:gradFill>
          <a:ln w="19050">
            <a:solidFill>
              <a:schemeClr val="lt1"/>
            </a:solidFill>
          </a:ln>
          <a:effectLst/>
        </c:spPr>
      </c:pivotFmt>
      <c:pivotFmt>
        <c:idx val="13"/>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a:gsLst>
              <a:gs pos="100000">
                <a:schemeClr val="accent2">
                  <a:shade val="53000"/>
                  <a:lumMod val="60000"/>
                  <a:lumOff val="40000"/>
                </a:schemeClr>
              </a:gs>
              <a:gs pos="0">
                <a:schemeClr val="accent2">
                  <a:shade val="53000"/>
                </a:schemeClr>
              </a:gs>
            </a:gsLst>
            <a:lin ang="5400000" scaled="0"/>
          </a:gradFill>
          <a:ln w="19050">
            <a:solidFill>
              <a:schemeClr val="lt1"/>
            </a:solidFill>
          </a:ln>
          <a:effectLst/>
        </c:spPr>
      </c:pivotFmt>
      <c:pivotFmt>
        <c:idx val="15"/>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pivotFmt>
      <c:pivotFmt>
        <c:idx val="1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7"/>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pivotFmt>
      <c:pivotFmt>
        <c:idx val="18"/>
        <c:spPr>
          <a:gradFill>
            <a:gsLst>
              <a:gs pos="100000">
                <a:schemeClr val="accent2">
                  <a:tint val="54000"/>
                  <a:lumMod val="60000"/>
                  <a:lumOff val="40000"/>
                </a:schemeClr>
              </a:gs>
              <a:gs pos="0">
                <a:schemeClr val="accent2">
                  <a:tint val="54000"/>
                </a:schemeClr>
              </a:gs>
            </a:gsLst>
            <a:lin ang="5400000" scaled="0"/>
          </a:gradFill>
          <a:ln w="19050">
            <a:solidFill>
              <a:schemeClr val="lt1"/>
            </a:solidFill>
          </a:ln>
          <a:effectLst/>
        </c:spPr>
      </c:pivotFmt>
      <c:pivotFmt>
        <c:idx val="19"/>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a:gsLst>
              <a:gs pos="100000">
                <a:schemeClr val="accent2">
                  <a:shade val="53000"/>
                  <a:lumMod val="60000"/>
                  <a:lumOff val="40000"/>
                </a:schemeClr>
              </a:gs>
              <a:gs pos="0">
                <a:schemeClr val="accent2">
                  <a:shade val="53000"/>
                </a:schemeClr>
              </a:gs>
            </a:gsLst>
            <a:lin ang="5400000" scaled="0"/>
          </a:gradFill>
          <a:ln w="19050">
            <a:solidFill>
              <a:schemeClr val="lt1"/>
            </a:solidFill>
          </a:ln>
          <a:effectLst/>
        </c:spPr>
      </c:pivotFmt>
      <c:pivotFmt>
        <c:idx val="21"/>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pivotFmt>
      <c:pivotFmt>
        <c:idx val="2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23"/>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pivotFmt>
      <c:pivotFmt>
        <c:idx val="24"/>
        <c:spPr>
          <a:gradFill>
            <a:gsLst>
              <a:gs pos="100000">
                <a:schemeClr val="accent2">
                  <a:tint val="54000"/>
                  <a:lumMod val="60000"/>
                  <a:lumOff val="40000"/>
                </a:schemeClr>
              </a:gs>
              <a:gs pos="0">
                <a:schemeClr val="accent2">
                  <a:tint val="54000"/>
                </a:schemeClr>
              </a:gs>
            </a:gsLst>
            <a:lin ang="5400000" scaled="0"/>
          </a:gradFill>
          <a:ln w="19050">
            <a:solidFill>
              <a:schemeClr val="lt1"/>
            </a:solidFill>
          </a:ln>
          <a:effectLst/>
        </c:spPr>
      </c:pivotFmt>
    </c:pivotFmts>
    <c:plotArea>
      <c:layout>
        <c:manualLayout>
          <c:layoutTarget val="inner"/>
          <c:xMode val="edge"/>
          <c:yMode val="edge"/>
          <c:x val="0.17961214401752779"/>
          <c:y val="9.2106818241601815E-2"/>
          <c:w val="0.49162890672930287"/>
          <c:h val="0.83128915386345292"/>
        </c:manualLayout>
      </c:layout>
      <c:doughnutChart>
        <c:varyColors val="1"/>
        <c:ser>
          <c:idx val="0"/>
          <c:order val="0"/>
          <c:tx>
            <c:strRef>
              <c:f>'Pivot Table'!$B$27</c:f>
              <c:strCache>
                <c:ptCount val="1"/>
                <c:pt idx="0">
                  <c:v>Total</c:v>
                </c:pt>
              </c:strCache>
            </c:strRef>
          </c:tx>
          <c:dPt>
            <c:idx val="0"/>
            <c:bubble3D val="0"/>
            <c:spPr>
              <a:gradFill>
                <a:gsLst>
                  <a:gs pos="100000">
                    <a:schemeClr val="accent2">
                      <a:shade val="53000"/>
                      <a:lumMod val="60000"/>
                      <a:lumOff val="40000"/>
                    </a:schemeClr>
                  </a:gs>
                  <a:gs pos="0">
                    <a:schemeClr val="accent2">
                      <a:shade val="53000"/>
                    </a:schemeClr>
                  </a:gs>
                </a:gsLst>
                <a:lin ang="5400000" scaled="0"/>
              </a:gradFill>
              <a:ln w="19050">
                <a:solidFill>
                  <a:schemeClr val="lt1"/>
                </a:solidFill>
              </a:ln>
              <a:effectLst/>
            </c:spPr>
            <c:extLst>
              <c:ext xmlns:c16="http://schemas.microsoft.com/office/drawing/2014/chart" uri="{C3380CC4-5D6E-409C-BE32-E72D297353CC}">
                <c16:uniqueId val="{00000001-262A-483D-8ECA-2C600ABB7E9D}"/>
              </c:ext>
            </c:extLst>
          </c:dPt>
          <c:dPt>
            <c:idx val="1"/>
            <c:bubble3D val="0"/>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extLst>
              <c:ext xmlns:c16="http://schemas.microsoft.com/office/drawing/2014/chart" uri="{C3380CC4-5D6E-409C-BE32-E72D297353CC}">
                <c16:uniqueId val="{00000003-262A-483D-8ECA-2C600ABB7E9D}"/>
              </c:ext>
            </c:extLst>
          </c:dPt>
          <c:dPt>
            <c:idx val="2"/>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5-262A-483D-8ECA-2C600ABB7E9D}"/>
              </c:ext>
            </c:extLst>
          </c:dPt>
          <c:dPt>
            <c:idx val="3"/>
            <c:bubble3D val="0"/>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extLst>
              <c:ext xmlns:c16="http://schemas.microsoft.com/office/drawing/2014/chart" uri="{C3380CC4-5D6E-409C-BE32-E72D297353CC}">
                <c16:uniqueId val="{00000007-262A-483D-8ECA-2C600ABB7E9D}"/>
              </c:ext>
            </c:extLst>
          </c:dPt>
          <c:dPt>
            <c:idx val="4"/>
            <c:bubble3D val="0"/>
            <c:spPr>
              <a:gradFill>
                <a:gsLst>
                  <a:gs pos="100000">
                    <a:schemeClr val="accent2">
                      <a:tint val="54000"/>
                      <a:lumMod val="60000"/>
                      <a:lumOff val="40000"/>
                    </a:schemeClr>
                  </a:gs>
                  <a:gs pos="0">
                    <a:schemeClr val="accent2">
                      <a:tint val="54000"/>
                    </a:schemeClr>
                  </a:gs>
                </a:gsLst>
                <a:lin ang="5400000" scaled="0"/>
              </a:gradFill>
              <a:ln w="19050">
                <a:solidFill>
                  <a:schemeClr val="lt1"/>
                </a:solidFill>
              </a:ln>
              <a:effectLst/>
            </c:spPr>
            <c:extLst>
              <c:ext xmlns:c16="http://schemas.microsoft.com/office/drawing/2014/chart" uri="{C3380CC4-5D6E-409C-BE32-E72D297353CC}">
                <c16:uniqueId val="{00000009-262A-483D-8ECA-2C600ABB7E9D}"/>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Table'!$A$28:$A$33</c:f>
              <c:strCache>
                <c:ptCount val="5"/>
                <c:pt idx="0">
                  <c:v>Cash</c:v>
                </c:pt>
                <c:pt idx="1">
                  <c:v>Credit Card</c:v>
                </c:pt>
                <c:pt idx="2">
                  <c:v>Debit Card</c:v>
                </c:pt>
                <c:pt idx="3">
                  <c:v>Gift Card</c:v>
                </c:pt>
                <c:pt idx="4">
                  <c:v>Online</c:v>
                </c:pt>
              </c:strCache>
            </c:strRef>
          </c:cat>
          <c:val>
            <c:numRef>
              <c:f>'Pivot Table'!$B$28:$B$33</c:f>
              <c:numCache>
                <c:formatCode>"₹"0.00,,"M"</c:formatCode>
                <c:ptCount val="5"/>
                <c:pt idx="0">
                  <c:v>10345021</c:v>
                </c:pt>
                <c:pt idx="1">
                  <c:v>8764459</c:v>
                </c:pt>
                <c:pt idx="2">
                  <c:v>9095688</c:v>
                </c:pt>
                <c:pt idx="3">
                  <c:v>9331662</c:v>
                </c:pt>
                <c:pt idx="4">
                  <c:v>10222854</c:v>
                </c:pt>
              </c:numCache>
            </c:numRef>
          </c:val>
          <c:extLst>
            <c:ext xmlns:c16="http://schemas.microsoft.com/office/drawing/2014/chart" uri="{C3380CC4-5D6E-409C-BE32-E72D297353CC}">
              <c16:uniqueId val="{0000000A-262A-483D-8ECA-2C600ABB7E9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4492652944353699"/>
          <c:y val="0.18058310416132956"/>
          <c:w val="0.24267653432422051"/>
          <c:h val="0.53730986272325698"/>
        </c:manualLayout>
      </c:layout>
      <c:overlay val="0"/>
      <c:spPr>
        <a:solidFill>
          <a:schemeClr val="lt1">
            <a:alpha val="50000"/>
          </a:schemeClr>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Digital Sales Dashboard.xlsx]Pivot Table!payment modewise avg disc.</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i="1">
                <a:solidFill>
                  <a:schemeClr val="bg1"/>
                </a:solidFill>
              </a:rPr>
              <a:t>PAYMENT</a:t>
            </a:r>
            <a:r>
              <a:rPr lang="en-US" sz="1400" i="1" baseline="0">
                <a:solidFill>
                  <a:schemeClr val="bg1"/>
                </a:solidFill>
              </a:rPr>
              <a:t> MODEWISE AVG. DISCOUNT</a:t>
            </a:r>
            <a:endParaRPr lang="en-US" sz="1400" i="1">
              <a:solidFill>
                <a:schemeClr val="bg1"/>
              </a:solidFill>
            </a:endParaRPr>
          </a:p>
        </c:rich>
      </c:tx>
      <c:overlay val="0"/>
      <c:spPr>
        <a:solidFill>
          <a:srgbClr val="003B70"/>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Table'!$I$15</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Table'!$H$16:$H$21</c:f>
              <c:strCache>
                <c:ptCount val="5"/>
                <c:pt idx="0">
                  <c:v>Cash</c:v>
                </c:pt>
                <c:pt idx="1">
                  <c:v>Credit Card</c:v>
                </c:pt>
                <c:pt idx="2">
                  <c:v>Debit Card</c:v>
                </c:pt>
                <c:pt idx="3">
                  <c:v>Gift Card</c:v>
                </c:pt>
                <c:pt idx="4">
                  <c:v>Online</c:v>
                </c:pt>
              </c:strCache>
            </c:strRef>
          </c:cat>
          <c:val>
            <c:numRef>
              <c:f>'Pivot Table'!$I$16:$I$21</c:f>
              <c:numCache>
                <c:formatCode>"₹"0.00,"K"</c:formatCode>
                <c:ptCount val="5"/>
                <c:pt idx="0">
                  <c:v>10784.533617886174</c:v>
                </c:pt>
                <c:pt idx="1">
                  <c:v>9607.8132905982911</c:v>
                </c:pt>
                <c:pt idx="2">
                  <c:v>9604.9595258620739</c:v>
                </c:pt>
                <c:pt idx="3">
                  <c:v>10555.399434782621</c:v>
                </c:pt>
                <c:pt idx="4">
                  <c:v>10129.637984496125</c:v>
                </c:pt>
              </c:numCache>
            </c:numRef>
          </c:val>
          <c:extLst>
            <c:ext xmlns:c16="http://schemas.microsoft.com/office/drawing/2014/chart" uri="{C3380CC4-5D6E-409C-BE32-E72D297353CC}">
              <c16:uniqueId val="{00000000-31B1-4DDE-9E73-8B128FC8F60C}"/>
            </c:ext>
          </c:extLst>
        </c:ser>
        <c:dLbls>
          <c:showLegendKey val="0"/>
          <c:showVal val="1"/>
          <c:showCatName val="0"/>
          <c:showSerName val="0"/>
          <c:showPercent val="0"/>
          <c:showBubbleSize val="0"/>
        </c:dLbls>
        <c:gapWidth val="79"/>
        <c:shape val="box"/>
        <c:axId val="1355044944"/>
        <c:axId val="1355042544"/>
        <c:axId val="0"/>
      </c:bar3DChart>
      <c:catAx>
        <c:axId val="13550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endParaRPr lang="en-US"/>
          </a:p>
        </c:txPr>
        <c:crossAx val="1355042544"/>
        <c:crosses val="autoZero"/>
        <c:auto val="1"/>
        <c:lblAlgn val="ctr"/>
        <c:lblOffset val="100"/>
        <c:noMultiLvlLbl val="0"/>
      </c:catAx>
      <c:valAx>
        <c:axId val="1355042544"/>
        <c:scaling>
          <c:orientation val="minMax"/>
        </c:scaling>
        <c:delete val="1"/>
        <c:axPos val="b"/>
        <c:numFmt formatCode="&quot;₹&quot;0.00,&quot;K&quot;" sourceLinked="1"/>
        <c:majorTickMark val="none"/>
        <c:minorTickMark val="none"/>
        <c:tickLblPos val="nextTo"/>
        <c:crossAx val="135504494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10</xdr:col>
      <xdr:colOff>1105318</xdr:colOff>
      <xdr:row>32</xdr:row>
      <xdr:rowOff>8374</xdr:rowOff>
    </xdr:from>
    <xdr:ext cx="1180260" cy="436786"/>
    <xdr:sp macro="" textlink="">
      <xdr:nvSpPr>
        <xdr:cNvPr id="5" name="TextBox 4">
          <a:extLst>
            <a:ext uri="{FF2B5EF4-FFF2-40B4-BE49-F238E27FC236}">
              <a16:creationId xmlns:a16="http://schemas.microsoft.com/office/drawing/2014/main" id="{3C99BE8A-3D06-5AEF-7B76-4E2E1F6EA028}"/>
            </a:ext>
          </a:extLst>
        </xdr:cNvPr>
        <xdr:cNvSpPr txBox="1"/>
      </xdr:nvSpPr>
      <xdr:spPr>
        <a:xfrm>
          <a:off x="10651252" y="5903407"/>
          <a:ext cx="118026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1">
              <a:solidFill>
                <a:schemeClr val="bg1"/>
              </a:solidFill>
            </a:rPr>
            <a:t>PAYMENT MODE</a:t>
          </a:r>
        </a:p>
        <a:p>
          <a:pPr algn="ctr"/>
          <a:r>
            <a:rPr lang="en-IN" sz="1100" b="1" i="1">
              <a:solidFill>
                <a:schemeClr val="bg1"/>
              </a:solidFill>
            </a:rPr>
            <a:t> SALES ANALYSIS</a:t>
          </a:r>
        </a:p>
      </xdr:txBody>
    </xdr:sp>
    <xdr:clientData/>
  </xdr:oneCellAnchor>
  <xdr:oneCellAnchor>
    <xdr:from>
      <xdr:col>16</xdr:col>
      <xdr:colOff>512164</xdr:colOff>
      <xdr:row>27</xdr:row>
      <xdr:rowOff>124918</xdr:rowOff>
    </xdr:from>
    <xdr:ext cx="254942" cy="264560"/>
    <xdr:sp macro="" textlink="">
      <xdr:nvSpPr>
        <xdr:cNvPr id="2" name="TextBox 1">
          <a:extLst>
            <a:ext uri="{FF2B5EF4-FFF2-40B4-BE49-F238E27FC236}">
              <a16:creationId xmlns:a16="http://schemas.microsoft.com/office/drawing/2014/main" id="{3305F1DB-0D95-D099-9AE0-3AFD1AA460E8}"/>
            </a:ext>
          </a:extLst>
        </xdr:cNvPr>
        <xdr:cNvSpPr txBox="1"/>
      </xdr:nvSpPr>
      <xdr:spPr>
        <a:xfrm>
          <a:off x="18837639" y="518409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464634</xdr:colOff>
      <xdr:row>1</xdr:row>
      <xdr:rowOff>22459</xdr:rowOff>
    </xdr:from>
    <xdr:to>
      <xdr:col>50</xdr:col>
      <xdr:colOff>18585</xdr:colOff>
      <xdr:row>67</xdr:row>
      <xdr:rowOff>118534</xdr:rowOff>
    </xdr:to>
    <xdr:sp macro="" textlink="">
      <xdr:nvSpPr>
        <xdr:cNvPr id="2" name="Rectangle 1">
          <a:extLst>
            <a:ext uri="{FF2B5EF4-FFF2-40B4-BE49-F238E27FC236}">
              <a16:creationId xmlns:a16="http://schemas.microsoft.com/office/drawing/2014/main" id="{2C229639-7501-F998-0373-F7E0A9C6BD1D}"/>
            </a:ext>
          </a:extLst>
        </xdr:cNvPr>
        <xdr:cNvSpPr/>
      </xdr:nvSpPr>
      <xdr:spPr>
        <a:xfrm>
          <a:off x="4731834" y="208726"/>
          <a:ext cx="25766751" cy="1286380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468517</xdr:colOff>
      <xdr:row>1</xdr:row>
      <xdr:rowOff>38091</xdr:rowOff>
    </xdr:from>
    <xdr:to>
      <xdr:col>50</xdr:col>
      <xdr:colOff>0</xdr:colOff>
      <xdr:row>8</xdr:row>
      <xdr:rowOff>88560</xdr:rowOff>
    </xdr:to>
    <xdr:sp macro="" textlink="">
      <xdr:nvSpPr>
        <xdr:cNvPr id="3" name="Rectangle 2">
          <a:extLst>
            <a:ext uri="{FF2B5EF4-FFF2-40B4-BE49-F238E27FC236}">
              <a16:creationId xmlns:a16="http://schemas.microsoft.com/office/drawing/2014/main" id="{3297CBC8-9CB9-420B-709E-CCF363E68F90}"/>
            </a:ext>
          </a:extLst>
        </xdr:cNvPr>
        <xdr:cNvSpPr/>
      </xdr:nvSpPr>
      <xdr:spPr>
        <a:xfrm>
          <a:off x="4715961" y="221535"/>
          <a:ext cx="25622928" cy="1334581"/>
        </a:xfrm>
        <a:prstGeom prst="rect">
          <a:avLst/>
        </a:prstGeom>
        <a:solidFill>
          <a:srgbClr val="003B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468517</xdr:colOff>
      <xdr:row>1</xdr:row>
      <xdr:rowOff>897</xdr:rowOff>
    </xdr:from>
    <xdr:to>
      <xdr:col>14</xdr:col>
      <xdr:colOff>185854</xdr:colOff>
      <xdr:row>67</xdr:row>
      <xdr:rowOff>127001</xdr:rowOff>
    </xdr:to>
    <xdr:sp macro="" textlink="">
      <xdr:nvSpPr>
        <xdr:cNvPr id="4" name="Rectangle 3">
          <a:extLst>
            <a:ext uri="{FF2B5EF4-FFF2-40B4-BE49-F238E27FC236}">
              <a16:creationId xmlns:a16="http://schemas.microsoft.com/office/drawing/2014/main" id="{0425984E-5399-6F08-3C1A-35E35A84D3F3}"/>
            </a:ext>
          </a:extLst>
        </xdr:cNvPr>
        <xdr:cNvSpPr/>
      </xdr:nvSpPr>
      <xdr:spPr>
        <a:xfrm>
          <a:off x="4715961" y="184341"/>
          <a:ext cx="3964782" cy="12699104"/>
        </a:xfrm>
        <a:prstGeom prst="rect">
          <a:avLst/>
        </a:prstGeom>
        <a:solidFill>
          <a:srgbClr val="003B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21</xdr:col>
      <xdr:colOff>540799</xdr:colOff>
      <xdr:row>2</xdr:row>
      <xdr:rowOff>15670</xdr:rowOff>
    </xdr:from>
    <xdr:ext cx="12356844" cy="1203856"/>
    <xdr:sp macro="" textlink="">
      <xdr:nvSpPr>
        <xdr:cNvPr id="6" name="TextBox 5">
          <a:extLst>
            <a:ext uri="{FF2B5EF4-FFF2-40B4-BE49-F238E27FC236}">
              <a16:creationId xmlns:a16="http://schemas.microsoft.com/office/drawing/2014/main" id="{2AB87783-5931-1946-00AF-E8A5C9EC6E8A}"/>
            </a:ext>
          </a:extLst>
        </xdr:cNvPr>
        <xdr:cNvSpPr txBox="1"/>
      </xdr:nvSpPr>
      <xdr:spPr>
        <a:xfrm>
          <a:off x="13420458" y="387377"/>
          <a:ext cx="12356844" cy="1203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6000" b="1" i="1">
              <a:solidFill>
                <a:schemeClr val="bg1"/>
              </a:solidFill>
              <a:effectLst/>
              <a:latin typeface="+mn-lt"/>
              <a:ea typeface="+mn-ea"/>
              <a:cs typeface="+mn-cs"/>
            </a:rPr>
            <a:t>RELIANCE</a:t>
          </a:r>
          <a:r>
            <a:rPr lang="en-IN" sz="6000" b="1" i="1" baseline="0">
              <a:solidFill>
                <a:schemeClr val="bg1"/>
              </a:solidFill>
              <a:effectLst/>
              <a:latin typeface="+mn-lt"/>
              <a:ea typeface="+mn-ea"/>
              <a:cs typeface="+mn-cs"/>
            </a:rPr>
            <a:t> DIGITAL SALES DASHBOARD</a:t>
          </a:r>
          <a:endParaRPr lang="en-IN" sz="6000">
            <a:solidFill>
              <a:schemeClr val="bg1"/>
            </a:solidFill>
            <a:effectLst/>
          </a:endParaRPr>
        </a:p>
        <a:p>
          <a:endParaRPr lang="en-IN" sz="1100">
            <a:solidFill>
              <a:schemeClr val="bg1"/>
            </a:solidFill>
          </a:endParaRPr>
        </a:p>
      </xdr:txBody>
    </xdr:sp>
    <xdr:clientData/>
  </xdr:oneCellAnchor>
  <xdr:twoCellAnchor>
    <xdr:from>
      <xdr:col>15</xdr:col>
      <xdr:colOff>18585</xdr:colOff>
      <xdr:row>10</xdr:row>
      <xdr:rowOff>130097</xdr:rowOff>
    </xdr:from>
    <xdr:to>
      <xdr:col>21</xdr:col>
      <xdr:colOff>148683</xdr:colOff>
      <xdr:row>20</xdr:row>
      <xdr:rowOff>148684</xdr:rowOff>
    </xdr:to>
    <xdr:grpSp>
      <xdr:nvGrpSpPr>
        <xdr:cNvPr id="7" name="Group 6">
          <a:extLst>
            <a:ext uri="{FF2B5EF4-FFF2-40B4-BE49-F238E27FC236}">
              <a16:creationId xmlns:a16="http://schemas.microsoft.com/office/drawing/2014/main" id="{FFEB99D9-8FA2-47F8-9C6C-09C59076D672}"/>
            </a:ext>
          </a:extLst>
        </xdr:cNvPr>
        <xdr:cNvGrpSpPr/>
      </xdr:nvGrpSpPr>
      <xdr:grpSpPr>
        <a:xfrm>
          <a:off x="9218341" y="1988634"/>
          <a:ext cx="3810001" cy="1877123"/>
          <a:chOff x="3442639" y="568645"/>
          <a:chExt cx="2876259" cy="1470637"/>
        </a:xfrm>
        <a:solidFill>
          <a:schemeClr val="bg1"/>
        </a:solidFill>
      </xdr:grpSpPr>
      <xdr:grpSp>
        <xdr:nvGrpSpPr>
          <xdr:cNvPr id="8" name="Group 7">
            <a:extLst>
              <a:ext uri="{FF2B5EF4-FFF2-40B4-BE49-F238E27FC236}">
                <a16:creationId xmlns:a16="http://schemas.microsoft.com/office/drawing/2014/main" id="{6490A404-94FF-42BE-56F0-113526E86FA8}"/>
              </a:ext>
            </a:extLst>
          </xdr:cNvPr>
          <xdr:cNvGrpSpPr/>
        </xdr:nvGrpSpPr>
        <xdr:grpSpPr>
          <a:xfrm>
            <a:off x="3442639" y="568645"/>
            <a:ext cx="2876259" cy="1470637"/>
            <a:chOff x="3444079" y="559141"/>
            <a:chExt cx="2877699" cy="1448463"/>
          </a:xfrm>
          <a:grpFill/>
        </xdr:grpSpPr>
        <xdr:grpSp>
          <xdr:nvGrpSpPr>
            <xdr:cNvPr id="10" name="Group 9">
              <a:extLst>
                <a:ext uri="{FF2B5EF4-FFF2-40B4-BE49-F238E27FC236}">
                  <a16:creationId xmlns:a16="http://schemas.microsoft.com/office/drawing/2014/main" id="{F34FC172-755C-90ED-0B29-A61D76486B12}"/>
                </a:ext>
              </a:extLst>
            </xdr:cNvPr>
            <xdr:cNvGrpSpPr/>
          </xdr:nvGrpSpPr>
          <xdr:grpSpPr>
            <a:xfrm>
              <a:off x="3444079" y="559141"/>
              <a:ext cx="2877699" cy="1448463"/>
              <a:chOff x="3444079" y="550333"/>
              <a:chExt cx="2877699" cy="1448463"/>
            </a:xfrm>
            <a:grpFill/>
          </xdr:grpSpPr>
          <xdr:sp macro="" textlink="">
            <xdr:nvSpPr>
              <xdr:cNvPr id="12" name="Rectangle: Rounded Corners 11">
                <a:extLst>
                  <a:ext uri="{FF2B5EF4-FFF2-40B4-BE49-F238E27FC236}">
                    <a16:creationId xmlns:a16="http://schemas.microsoft.com/office/drawing/2014/main" id="{5C5BC365-0F20-3591-4DE7-71D740DAAA7A}"/>
                  </a:ext>
                </a:extLst>
              </xdr:cNvPr>
              <xdr:cNvSpPr/>
            </xdr:nvSpPr>
            <xdr:spPr>
              <a:xfrm>
                <a:off x="3444079" y="550333"/>
                <a:ext cx="2877699" cy="1448463"/>
              </a:xfrm>
              <a:prstGeom prst="roundRect">
                <a:avLst/>
              </a:prstGeom>
              <a:grp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F0B5BC9E-19ED-E4B4-8BE5-3E54109073DC}"/>
                  </a:ext>
                </a:extLst>
              </xdr:cNvPr>
              <xdr:cNvSpPr txBox="1"/>
            </xdr:nvSpPr>
            <xdr:spPr>
              <a:xfrm>
                <a:off x="4420659" y="1471894"/>
                <a:ext cx="1814286" cy="36034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i="1">
                    <a:solidFill>
                      <a:schemeClr val="bg1"/>
                    </a:solidFill>
                  </a:rPr>
                  <a:t>  </a:t>
                </a:r>
                <a:r>
                  <a:rPr lang="en-IN" sz="2400" b="1" i="1">
                    <a:solidFill>
                      <a:schemeClr val="tx1"/>
                    </a:solidFill>
                  </a:rPr>
                  <a:t>TOTAL</a:t>
                </a:r>
                <a:r>
                  <a:rPr lang="en-IN" sz="2400" b="1" i="1">
                    <a:solidFill>
                      <a:schemeClr val="bg1"/>
                    </a:solidFill>
                  </a:rPr>
                  <a:t> </a:t>
                </a:r>
                <a:r>
                  <a:rPr lang="en-IN" sz="2400" b="1" i="1">
                    <a:solidFill>
                      <a:schemeClr val="tx1"/>
                    </a:solidFill>
                  </a:rPr>
                  <a:t>SALES</a:t>
                </a:r>
              </a:p>
            </xdr:txBody>
          </xdr:sp>
          <xdr:pic>
            <xdr:nvPicPr>
              <xdr:cNvPr id="14" name="Picture 13" descr="Sales ">
                <a:extLst>
                  <a:ext uri="{FF2B5EF4-FFF2-40B4-BE49-F238E27FC236}">
                    <a16:creationId xmlns:a16="http://schemas.microsoft.com/office/drawing/2014/main" id="{E9106AAC-568E-470B-0C5F-B7E74B569F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1888" y="846665"/>
                <a:ext cx="812399" cy="818445"/>
              </a:xfrm>
              <a:prstGeom prst="rect">
                <a:avLst/>
              </a:prstGeom>
              <a:grpFill/>
            </xdr:spPr>
          </xdr:pic>
        </xdr:grpSp>
        <xdr:sp macro="" textlink="">
          <xdr:nvSpPr>
            <xdr:cNvPr id="11" name="TextBox 10">
              <a:extLst>
                <a:ext uri="{FF2B5EF4-FFF2-40B4-BE49-F238E27FC236}">
                  <a16:creationId xmlns:a16="http://schemas.microsoft.com/office/drawing/2014/main" id="{E8FE0393-06B7-C92F-1605-58E3FDB8930D}"/>
                </a:ext>
              </a:extLst>
            </xdr:cNvPr>
            <xdr:cNvSpPr txBox="1"/>
          </xdr:nvSpPr>
          <xdr:spPr>
            <a:xfrm>
              <a:off x="4543779" y="1001889"/>
              <a:ext cx="261891" cy="55088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i="1">
                  <a:solidFill>
                    <a:schemeClr val="bg1"/>
                  </a:solidFill>
                  <a:effectLst/>
                </a:rPr>
                <a:t> </a:t>
              </a:r>
              <a:endParaRPr lang="en-IN" sz="2800" b="1" i="1">
                <a:solidFill>
                  <a:schemeClr val="bg1"/>
                </a:solidFill>
              </a:endParaRPr>
            </a:p>
          </xdr:txBody>
        </xdr:sp>
      </xdr:grpSp>
      <xdr:sp macro="" textlink="'Pivot Table'!J27">
        <xdr:nvSpPr>
          <xdr:cNvPr id="9" name="TextBox 8">
            <a:extLst>
              <a:ext uri="{FF2B5EF4-FFF2-40B4-BE49-F238E27FC236}">
                <a16:creationId xmlns:a16="http://schemas.microsoft.com/office/drawing/2014/main" id="{B4A6A980-0FCA-F71E-0AD7-BB10B3BB4188}"/>
              </a:ext>
            </a:extLst>
          </xdr:cNvPr>
          <xdr:cNvSpPr txBox="1"/>
        </xdr:nvSpPr>
        <xdr:spPr>
          <a:xfrm>
            <a:off x="4503940" y="930146"/>
            <a:ext cx="1440630" cy="51917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5DF45BC-32FA-47CF-8518-C571B7D53081}" type="TxLink">
              <a:rPr lang="en-US" sz="3600" b="1" i="1" u="none" strike="noStrike">
                <a:solidFill>
                  <a:schemeClr val="tx1"/>
                </a:solidFill>
                <a:effectLst/>
                <a:latin typeface="Calibri"/>
                <a:ea typeface="Calibri"/>
                <a:cs typeface="Calibri"/>
              </a:rPr>
              <a:pPr/>
              <a:t>₹47.76M</a:t>
            </a:fld>
            <a:endParaRPr lang="en-IN" sz="3600" b="1" i="1">
              <a:solidFill>
                <a:schemeClr val="tx1"/>
              </a:solidFill>
            </a:endParaRPr>
          </a:p>
        </xdr:txBody>
      </xdr:sp>
    </xdr:grpSp>
    <xdr:clientData/>
  </xdr:twoCellAnchor>
  <xdr:twoCellAnchor>
    <xdr:from>
      <xdr:col>21</xdr:col>
      <xdr:colOff>594729</xdr:colOff>
      <xdr:row>10</xdr:row>
      <xdr:rowOff>148683</xdr:rowOff>
    </xdr:from>
    <xdr:to>
      <xdr:col>27</xdr:col>
      <xdr:colOff>594728</xdr:colOff>
      <xdr:row>21</xdr:row>
      <xdr:rowOff>74342</xdr:rowOff>
    </xdr:to>
    <xdr:grpSp>
      <xdr:nvGrpSpPr>
        <xdr:cNvPr id="15" name="Group 14">
          <a:extLst>
            <a:ext uri="{FF2B5EF4-FFF2-40B4-BE49-F238E27FC236}">
              <a16:creationId xmlns:a16="http://schemas.microsoft.com/office/drawing/2014/main" id="{F6F55DD4-BA10-4CFB-B0AC-9345297A1897}"/>
            </a:ext>
          </a:extLst>
        </xdr:cNvPr>
        <xdr:cNvGrpSpPr/>
      </xdr:nvGrpSpPr>
      <xdr:grpSpPr>
        <a:xfrm>
          <a:off x="13474388" y="2007220"/>
          <a:ext cx="3679901" cy="1970049"/>
          <a:chOff x="6643050" y="566071"/>
          <a:chExt cx="3036198" cy="1538260"/>
        </a:xfrm>
        <a:effectLst>
          <a:outerShdw blurRad="50800" dist="38100" dir="2700000" algn="tl" rotWithShape="0">
            <a:prstClr val="black">
              <a:alpha val="40000"/>
            </a:prstClr>
          </a:outerShdw>
        </a:effectLst>
      </xdr:grpSpPr>
      <xdr:grpSp>
        <xdr:nvGrpSpPr>
          <xdr:cNvPr id="16" name="Group 15">
            <a:extLst>
              <a:ext uri="{FF2B5EF4-FFF2-40B4-BE49-F238E27FC236}">
                <a16:creationId xmlns:a16="http://schemas.microsoft.com/office/drawing/2014/main" id="{8CDC6F59-D5B0-9D05-6341-668FFE5AE121}"/>
              </a:ext>
            </a:extLst>
          </xdr:cNvPr>
          <xdr:cNvGrpSpPr/>
        </xdr:nvGrpSpPr>
        <xdr:grpSpPr>
          <a:xfrm>
            <a:off x="6643050" y="566071"/>
            <a:ext cx="3036198" cy="1538260"/>
            <a:chOff x="6789810" y="550332"/>
            <a:chExt cx="3037676" cy="1520046"/>
          </a:xfrm>
        </xdr:grpSpPr>
        <xdr:sp macro="" textlink="">
          <xdr:nvSpPr>
            <xdr:cNvPr id="18" name="Rectangle: Rounded Corners 17">
              <a:extLst>
                <a:ext uri="{FF2B5EF4-FFF2-40B4-BE49-F238E27FC236}">
                  <a16:creationId xmlns:a16="http://schemas.microsoft.com/office/drawing/2014/main" id="{E281B554-92D1-43AD-60D1-603893420D17}"/>
                </a:ext>
              </a:extLst>
            </xdr:cNvPr>
            <xdr:cNvSpPr/>
          </xdr:nvSpPr>
          <xdr:spPr>
            <a:xfrm>
              <a:off x="6789810" y="550332"/>
              <a:ext cx="2960968" cy="14675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DE83EE67-CC7F-782B-A8C2-DC69CEA413E6}"/>
                </a:ext>
              </a:extLst>
            </xdr:cNvPr>
            <xdr:cNvSpPr txBox="1"/>
          </xdr:nvSpPr>
          <xdr:spPr>
            <a:xfrm>
              <a:off x="7516872" y="1476704"/>
              <a:ext cx="2310614" cy="593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1" i="1" baseline="0">
                  <a:solidFill>
                    <a:schemeClr val="bg1"/>
                  </a:solidFill>
                </a:rPr>
                <a:t> </a:t>
              </a:r>
              <a:r>
                <a:rPr lang="en-IN" sz="2400" b="1" i="1" baseline="0">
                  <a:solidFill>
                    <a:schemeClr val="tx1"/>
                  </a:solidFill>
                </a:rPr>
                <a:t>QUANTITY SOLD</a:t>
              </a:r>
              <a:endParaRPr lang="en-IN" sz="2400" b="1" i="1">
                <a:solidFill>
                  <a:schemeClr val="tx1"/>
                </a:solidFill>
              </a:endParaRPr>
            </a:p>
          </xdr:txBody>
        </xdr:sp>
        <xdr:pic>
          <xdr:nvPicPr>
            <xdr:cNvPr id="20" name="Picture 19" descr="Shopping basket ">
              <a:extLst>
                <a:ext uri="{FF2B5EF4-FFF2-40B4-BE49-F238E27FC236}">
                  <a16:creationId xmlns:a16="http://schemas.microsoft.com/office/drawing/2014/main" id="{A6DD6FBD-376B-EC68-5E42-5F170E251D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4445" y="917222"/>
              <a:ext cx="903111" cy="73377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Pivot Table'!K27">
        <xdr:nvSpPr>
          <xdr:cNvPr id="17" name="TextBox 16">
            <a:extLst>
              <a:ext uri="{FF2B5EF4-FFF2-40B4-BE49-F238E27FC236}">
                <a16:creationId xmlns:a16="http://schemas.microsoft.com/office/drawing/2014/main" id="{F7E4415E-1D2E-51B0-0BF2-49156FEB1ACF}"/>
              </a:ext>
            </a:extLst>
          </xdr:cNvPr>
          <xdr:cNvSpPr txBox="1"/>
        </xdr:nvSpPr>
        <xdr:spPr>
          <a:xfrm>
            <a:off x="8085025" y="898051"/>
            <a:ext cx="1118862" cy="499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418FAE7-13DA-4C6E-B2A6-B8B0594E1FD7}" type="TxLink">
              <a:rPr lang="en-US" sz="3600" b="1" i="1" u="none" strike="noStrike">
                <a:solidFill>
                  <a:schemeClr val="tx1"/>
                </a:solidFill>
                <a:effectLst/>
                <a:latin typeface="Calibri"/>
                <a:ea typeface="Calibri"/>
                <a:cs typeface="Calibri"/>
              </a:rPr>
              <a:pPr/>
              <a:t>2369</a:t>
            </a:fld>
            <a:endParaRPr lang="en-IN" sz="3600" b="1" i="1">
              <a:solidFill>
                <a:schemeClr val="tx1"/>
              </a:solidFill>
            </a:endParaRPr>
          </a:p>
        </xdr:txBody>
      </xdr:sp>
    </xdr:grpSp>
    <xdr:clientData/>
  </xdr:twoCellAnchor>
  <xdr:twoCellAnchor>
    <xdr:from>
      <xdr:col>35</xdr:col>
      <xdr:colOff>207162</xdr:colOff>
      <xdr:row>10</xdr:row>
      <xdr:rowOff>135466</xdr:rowOff>
    </xdr:from>
    <xdr:to>
      <xdr:col>41</xdr:col>
      <xdr:colOff>225779</xdr:colOff>
      <xdr:row>20</xdr:row>
      <xdr:rowOff>155222</xdr:rowOff>
    </xdr:to>
    <xdr:grpSp>
      <xdr:nvGrpSpPr>
        <xdr:cNvPr id="22" name="Group 21">
          <a:extLst>
            <a:ext uri="{FF2B5EF4-FFF2-40B4-BE49-F238E27FC236}">
              <a16:creationId xmlns:a16="http://schemas.microsoft.com/office/drawing/2014/main" id="{F71338E2-A4EE-DCE6-9E0B-28603E198DA0}"/>
            </a:ext>
          </a:extLst>
        </xdr:cNvPr>
        <xdr:cNvGrpSpPr/>
      </xdr:nvGrpSpPr>
      <xdr:grpSpPr>
        <a:xfrm>
          <a:off x="21673260" y="1994003"/>
          <a:ext cx="3698519" cy="1878292"/>
          <a:chOff x="12931917" y="548833"/>
          <a:chExt cx="2801971" cy="1511389"/>
        </a:xfrm>
        <a:solidFill>
          <a:sysClr val="window" lastClr="FFFFFF"/>
        </a:solidFill>
        <a:effectLst>
          <a:outerShdw blurRad="50800" dist="38100" dir="2700000" algn="tl"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4C794B04-FC4A-1FFE-D6F9-45A0BC10B2EC}"/>
              </a:ext>
            </a:extLst>
          </xdr:cNvPr>
          <xdr:cNvSpPr/>
        </xdr:nvSpPr>
        <xdr:spPr>
          <a:xfrm>
            <a:off x="12931917" y="548833"/>
            <a:ext cx="2801971" cy="1511389"/>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2EB7AA88-D0CD-C2C7-FA8A-199ABF2F89A6}"/>
              </a:ext>
            </a:extLst>
          </xdr:cNvPr>
          <xdr:cNvSpPr txBox="1"/>
        </xdr:nvSpPr>
        <xdr:spPr>
          <a:xfrm>
            <a:off x="13827575" y="1554737"/>
            <a:ext cx="1851417" cy="3529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i="1">
                <a:solidFill>
                  <a:schemeClr val="tx1"/>
                </a:solidFill>
              </a:rPr>
              <a:t>PRODUCT</a:t>
            </a:r>
            <a:r>
              <a:rPr lang="en-IN" sz="2400" b="1" i="1" baseline="0">
                <a:solidFill>
                  <a:schemeClr val="tx1"/>
                </a:solidFill>
              </a:rPr>
              <a:t> COUNT</a:t>
            </a:r>
          </a:p>
        </xdr:txBody>
      </xdr:sp>
      <xdr:pic>
        <xdr:nvPicPr>
          <xdr:cNvPr id="32" name="Picture 31" descr="Clipboard ">
            <a:extLst>
              <a:ext uri="{FF2B5EF4-FFF2-40B4-BE49-F238E27FC236}">
                <a16:creationId xmlns:a16="http://schemas.microsoft.com/office/drawing/2014/main" id="{2012A9DC-45BB-2931-1ED2-EBE073D1CD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052777" y="860779"/>
            <a:ext cx="804334" cy="832556"/>
          </a:xfrm>
          <a:prstGeom prst="rect">
            <a:avLst/>
          </a:prstGeom>
          <a:grpFill/>
        </xdr:spPr>
      </xdr:pic>
    </xdr:grpSp>
    <xdr:clientData/>
  </xdr:twoCellAnchor>
  <xdr:twoCellAnchor>
    <xdr:from>
      <xdr:col>28</xdr:col>
      <xdr:colOff>270658</xdr:colOff>
      <xdr:row>10</xdr:row>
      <xdr:rowOff>155364</xdr:rowOff>
    </xdr:from>
    <xdr:to>
      <xdr:col>34</xdr:col>
      <xdr:colOff>366889</xdr:colOff>
      <xdr:row>21</xdr:row>
      <xdr:rowOff>0</xdr:rowOff>
    </xdr:to>
    <xdr:grpSp>
      <xdr:nvGrpSpPr>
        <xdr:cNvPr id="23" name="Group 22">
          <a:extLst>
            <a:ext uri="{FF2B5EF4-FFF2-40B4-BE49-F238E27FC236}">
              <a16:creationId xmlns:a16="http://schemas.microsoft.com/office/drawing/2014/main" id="{3B2F60F0-380C-8425-AF9A-C4F7B866AC6F}"/>
            </a:ext>
          </a:extLst>
        </xdr:cNvPr>
        <xdr:cNvGrpSpPr/>
      </xdr:nvGrpSpPr>
      <xdr:grpSpPr>
        <a:xfrm>
          <a:off x="17443536" y="2013901"/>
          <a:ext cx="3776133" cy="1889026"/>
          <a:chOff x="9926447" y="530221"/>
          <a:chExt cx="2780722" cy="1524289"/>
        </a:xfrm>
        <a:solidFill>
          <a:sysClr val="window" lastClr="FFFFFF"/>
        </a:solidFill>
        <a:effectLst>
          <a:outerShdw blurRad="50800" dist="38100" dir="2700000" algn="tl" rotWithShape="0">
            <a:prstClr val="black">
              <a:alpha val="40000"/>
            </a:prstClr>
          </a:outerShdw>
        </a:effectLst>
      </xdr:grpSpPr>
      <xdr:grpSp>
        <xdr:nvGrpSpPr>
          <xdr:cNvPr id="25" name="Group 24">
            <a:extLst>
              <a:ext uri="{FF2B5EF4-FFF2-40B4-BE49-F238E27FC236}">
                <a16:creationId xmlns:a16="http://schemas.microsoft.com/office/drawing/2014/main" id="{760A8605-8910-27E3-7BB0-4579D9552C1C}"/>
              </a:ext>
            </a:extLst>
          </xdr:cNvPr>
          <xdr:cNvGrpSpPr/>
        </xdr:nvGrpSpPr>
        <xdr:grpSpPr>
          <a:xfrm>
            <a:off x="9926447" y="530221"/>
            <a:ext cx="2780722" cy="1524289"/>
            <a:chOff x="9847568" y="522111"/>
            <a:chExt cx="2781875" cy="1495778"/>
          </a:xfrm>
          <a:grpFill/>
        </xdr:grpSpPr>
        <xdr:sp macro="" textlink="">
          <xdr:nvSpPr>
            <xdr:cNvPr id="27" name="Rectangle: Rounded Corners 26">
              <a:extLst>
                <a:ext uri="{FF2B5EF4-FFF2-40B4-BE49-F238E27FC236}">
                  <a16:creationId xmlns:a16="http://schemas.microsoft.com/office/drawing/2014/main" id="{18485361-F90D-7B02-0FCD-CD36CF50CC12}"/>
                </a:ext>
              </a:extLst>
            </xdr:cNvPr>
            <xdr:cNvSpPr/>
          </xdr:nvSpPr>
          <xdr:spPr>
            <a:xfrm>
              <a:off x="9847568" y="522111"/>
              <a:ext cx="2781875" cy="149577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75CC4350-19F6-EE44-BE80-21202F7C3C6B}"/>
                </a:ext>
              </a:extLst>
            </xdr:cNvPr>
            <xdr:cNvSpPr txBox="1"/>
          </xdr:nvSpPr>
          <xdr:spPr>
            <a:xfrm>
              <a:off x="10795752" y="1531677"/>
              <a:ext cx="1642052" cy="37299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i="1">
                  <a:solidFill>
                    <a:schemeClr val="tx1"/>
                  </a:solidFill>
                </a:rPr>
                <a:t>AVG.</a:t>
              </a:r>
              <a:r>
                <a:rPr lang="en-IN" sz="2400" b="1" i="1" baseline="0">
                  <a:solidFill>
                    <a:schemeClr val="tx1"/>
                  </a:solidFill>
                </a:rPr>
                <a:t> DISCOUNT</a:t>
              </a:r>
              <a:endParaRPr lang="en-IN" sz="2400" b="1" i="1">
                <a:solidFill>
                  <a:schemeClr val="tx1"/>
                </a:solidFill>
              </a:endParaRPr>
            </a:p>
          </xdr:txBody>
        </xdr:sp>
        <xdr:pic>
          <xdr:nvPicPr>
            <xdr:cNvPr id="29" name="Picture 28" descr="Offer ">
              <a:extLst>
                <a:ext uri="{FF2B5EF4-FFF2-40B4-BE49-F238E27FC236}">
                  <a16:creationId xmlns:a16="http://schemas.microsoft.com/office/drawing/2014/main" id="{4D4E04B3-51CD-2BFD-83AB-0100FB456DD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033000" y="762001"/>
              <a:ext cx="874889" cy="889000"/>
            </a:xfrm>
            <a:prstGeom prst="rect">
              <a:avLst/>
            </a:prstGeom>
            <a:grpFill/>
          </xdr:spPr>
        </xdr:pic>
      </xdr:grpSp>
      <xdr:sp macro="" textlink="'Pivot Table'!L27">
        <xdr:nvSpPr>
          <xdr:cNvPr id="26" name="TextBox 25">
            <a:extLst>
              <a:ext uri="{FF2B5EF4-FFF2-40B4-BE49-F238E27FC236}">
                <a16:creationId xmlns:a16="http://schemas.microsoft.com/office/drawing/2014/main" id="{9FE4E3EA-6A3B-8DF6-B093-0A39BAEB2669}"/>
              </a:ext>
            </a:extLst>
          </xdr:cNvPr>
          <xdr:cNvSpPr txBox="1"/>
        </xdr:nvSpPr>
        <xdr:spPr>
          <a:xfrm>
            <a:off x="11093524" y="927445"/>
            <a:ext cx="1177253" cy="51530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04062C5-A43E-4C44-B388-A4B174D4E5C1}" type="TxLink">
              <a:rPr lang="en-US" sz="3600" b="1" i="1" u="none" strike="noStrike">
                <a:solidFill>
                  <a:schemeClr val="tx1"/>
                </a:solidFill>
                <a:effectLst/>
                <a:latin typeface="Calibri"/>
                <a:ea typeface="Calibri"/>
                <a:cs typeface="Calibri"/>
              </a:rPr>
              <a:pPr/>
              <a:t>24.84%</a:t>
            </a:fld>
            <a:endParaRPr lang="en-IN" sz="3600" b="1" i="1">
              <a:solidFill>
                <a:schemeClr val="tx1"/>
              </a:solidFill>
            </a:endParaRPr>
          </a:p>
        </xdr:txBody>
      </xdr:sp>
    </xdr:grpSp>
    <xdr:clientData/>
  </xdr:twoCellAnchor>
  <xdr:twoCellAnchor>
    <xdr:from>
      <xdr:col>38</xdr:col>
      <xdr:colOff>217025</xdr:colOff>
      <xdr:row>13</xdr:row>
      <xdr:rowOff>98268</xdr:rowOff>
    </xdr:from>
    <xdr:to>
      <xdr:col>40</xdr:col>
      <xdr:colOff>225356</xdr:colOff>
      <xdr:row>17</xdr:row>
      <xdr:rowOff>53303</xdr:rowOff>
    </xdr:to>
    <xdr:sp macro="" textlink="'Pivot Table'!M27">
      <xdr:nvSpPr>
        <xdr:cNvPr id="24" name="TextBox 23">
          <a:extLst>
            <a:ext uri="{FF2B5EF4-FFF2-40B4-BE49-F238E27FC236}">
              <a16:creationId xmlns:a16="http://schemas.microsoft.com/office/drawing/2014/main" id="{AADE35CB-225F-B9C2-2AF3-941EB277C475}"/>
            </a:ext>
          </a:extLst>
        </xdr:cNvPr>
        <xdr:cNvSpPr txBox="1"/>
      </xdr:nvSpPr>
      <xdr:spPr>
        <a:xfrm>
          <a:off x="23274581" y="2483046"/>
          <a:ext cx="1221886" cy="6888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77DB33A-C9E3-4001-846B-4277EFEDE162}" type="TxLink">
            <a:rPr lang="en-US" sz="3600" b="1" i="1" u="none" strike="noStrike">
              <a:solidFill>
                <a:schemeClr val="tx1"/>
              </a:solidFill>
              <a:latin typeface="Calibri"/>
              <a:ea typeface="Calibri"/>
              <a:cs typeface="Calibri"/>
            </a:rPr>
            <a:pPr/>
            <a:t>1200</a:t>
          </a:fld>
          <a:endParaRPr lang="en-IN" sz="3600" b="1" i="1">
            <a:solidFill>
              <a:schemeClr val="tx1"/>
            </a:solidFill>
          </a:endParaRPr>
        </a:p>
      </xdr:txBody>
    </xdr:sp>
    <xdr:clientData/>
  </xdr:twoCellAnchor>
  <xdr:twoCellAnchor>
    <xdr:from>
      <xdr:col>42</xdr:col>
      <xdr:colOff>160041</xdr:colOff>
      <xdr:row>10</xdr:row>
      <xdr:rowOff>101600</xdr:rowOff>
    </xdr:from>
    <xdr:to>
      <xdr:col>48</xdr:col>
      <xdr:colOff>127000</xdr:colOff>
      <xdr:row>20</xdr:row>
      <xdr:rowOff>141111</xdr:rowOff>
    </xdr:to>
    <xdr:grpSp>
      <xdr:nvGrpSpPr>
        <xdr:cNvPr id="34" name="Group 33">
          <a:extLst>
            <a:ext uri="{FF2B5EF4-FFF2-40B4-BE49-F238E27FC236}">
              <a16:creationId xmlns:a16="http://schemas.microsoft.com/office/drawing/2014/main" id="{98EAD5AC-8010-4478-ADA2-1466E7371335}"/>
            </a:ext>
          </a:extLst>
        </xdr:cNvPr>
        <xdr:cNvGrpSpPr/>
      </xdr:nvGrpSpPr>
      <xdr:grpSpPr>
        <a:xfrm>
          <a:off x="25919358" y="1960137"/>
          <a:ext cx="3646862" cy="1898047"/>
          <a:chOff x="16298821" y="489181"/>
          <a:chExt cx="2800531" cy="1536732"/>
        </a:xfrm>
        <a:effectLst>
          <a:outerShdw blurRad="50800" dist="38100" dir="2700000" algn="tl" rotWithShape="0">
            <a:prstClr val="black">
              <a:alpha val="40000"/>
            </a:prstClr>
          </a:outerShdw>
        </a:effectLst>
      </xdr:grpSpPr>
      <xdr:sp macro="" textlink="">
        <xdr:nvSpPr>
          <xdr:cNvPr id="35" name="Rectangle: Rounded Corners 34">
            <a:extLst>
              <a:ext uri="{FF2B5EF4-FFF2-40B4-BE49-F238E27FC236}">
                <a16:creationId xmlns:a16="http://schemas.microsoft.com/office/drawing/2014/main" id="{789E7ED4-3436-9E0D-5F1B-98C03D66A427}"/>
              </a:ext>
            </a:extLst>
          </xdr:cNvPr>
          <xdr:cNvSpPr/>
        </xdr:nvSpPr>
        <xdr:spPr>
          <a:xfrm>
            <a:off x="16298821" y="489181"/>
            <a:ext cx="2800531" cy="15367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F6954C4D-F630-5F58-B654-FAC9BA4F719C}"/>
              </a:ext>
            </a:extLst>
          </xdr:cNvPr>
          <xdr:cNvSpPr txBox="1"/>
        </xdr:nvSpPr>
        <xdr:spPr>
          <a:xfrm>
            <a:off x="17218729" y="1537650"/>
            <a:ext cx="1843172" cy="405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i="1" baseline="0">
                <a:solidFill>
                  <a:schemeClr val="tx1"/>
                </a:solidFill>
              </a:rPr>
              <a:t>TOTAL REVENUE</a:t>
            </a:r>
          </a:p>
        </xdr:txBody>
      </xdr:sp>
      <xdr:pic>
        <xdr:nvPicPr>
          <xdr:cNvPr id="37" name="Picture 36" descr="Total Income Icons - Free Download in SVG, PNG">
            <a:extLst>
              <a:ext uri="{FF2B5EF4-FFF2-40B4-BE49-F238E27FC236}">
                <a16:creationId xmlns:a16="http://schemas.microsoft.com/office/drawing/2014/main" id="{8C9C254F-EE9A-27E3-D16F-6C0083544DC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348518" y="878970"/>
            <a:ext cx="926273" cy="696754"/>
          </a:xfrm>
          <a:prstGeom prst="rect">
            <a:avLst/>
          </a:prstGeom>
          <a:noFill/>
          <a:extLst>
            <a:ext uri="{909E8E84-426E-40DD-AFC4-6F175D3DCCD1}">
              <a14:hiddenFill xmlns:a14="http://schemas.microsoft.com/office/drawing/2010/main">
                <a:solidFill>
                  <a:srgbClr val="FFFFFF"/>
                </a:solidFill>
              </a14:hiddenFill>
            </a:ext>
          </a:extLst>
        </xdr:spPr>
      </xdr:pic>
      <xdr:sp macro="" textlink="'Pivot Table'!N27">
        <xdr:nvSpPr>
          <xdr:cNvPr id="38" name="TextBox 37">
            <a:extLst>
              <a:ext uri="{FF2B5EF4-FFF2-40B4-BE49-F238E27FC236}">
                <a16:creationId xmlns:a16="http://schemas.microsoft.com/office/drawing/2014/main" id="{BC8B0BC0-4A45-AB9C-DE46-56FAC55D8F62}"/>
              </a:ext>
            </a:extLst>
          </xdr:cNvPr>
          <xdr:cNvSpPr txBox="1"/>
        </xdr:nvSpPr>
        <xdr:spPr>
          <a:xfrm>
            <a:off x="17401438" y="982757"/>
            <a:ext cx="1462015" cy="5183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89DC6F-780C-48D5-828F-1761F312ADFF}" type="TxLink">
              <a:rPr lang="en-US" sz="3600" b="1" i="1" u="none" strike="noStrike">
                <a:solidFill>
                  <a:schemeClr val="tx1"/>
                </a:solidFill>
                <a:latin typeface="Calibri"/>
                <a:ea typeface="Calibri"/>
                <a:cs typeface="Calibri"/>
              </a:rPr>
              <a:pPr/>
              <a:t>₹35.59M</a:t>
            </a:fld>
            <a:endParaRPr lang="en-IN" sz="3600" b="1" i="1">
              <a:solidFill>
                <a:schemeClr val="tx1"/>
              </a:solidFill>
            </a:endParaRPr>
          </a:p>
        </xdr:txBody>
      </xdr:sp>
    </xdr:grpSp>
    <xdr:clientData/>
  </xdr:twoCellAnchor>
  <xdr:twoCellAnchor>
    <xdr:from>
      <xdr:col>7</xdr:col>
      <xdr:colOff>501804</xdr:colOff>
      <xdr:row>1</xdr:row>
      <xdr:rowOff>18584</xdr:rowOff>
    </xdr:from>
    <xdr:to>
      <xdr:col>14</xdr:col>
      <xdr:colOff>128332</xdr:colOff>
      <xdr:row>16</xdr:row>
      <xdr:rowOff>148682</xdr:rowOff>
    </xdr:to>
    <xdr:pic>
      <xdr:nvPicPr>
        <xdr:cNvPr id="39" name="Picture 38">
          <a:extLst>
            <a:ext uri="{FF2B5EF4-FFF2-40B4-BE49-F238E27FC236}">
              <a16:creationId xmlns:a16="http://schemas.microsoft.com/office/drawing/2014/main" id="{BD310408-0A10-409D-A350-3C92C5F2662D}"/>
            </a:ext>
          </a:extLst>
        </xdr:cNvPr>
        <xdr:cNvPicPr>
          <a:picLocks noChangeAspect="1"/>
        </xdr:cNvPicPr>
      </xdr:nvPicPr>
      <xdr:blipFill>
        <a:blip xmlns:r="http://schemas.openxmlformats.org/officeDocument/2006/relationships" r:embed="rId6"/>
        <a:stretch>
          <a:fillRect/>
        </a:stretch>
      </xdr:blipFill>
      <xdr:spPr>
        <a:xfrm>
          <a:off x="4795024" y="204438"/>
          <a:ext cx="3919747" cy="2917903"/>
        </a:xfrm>
        <a:prstGeom prst="rect">
          <a:avLst/>
        </a:prstGeom>
      </xdr:spPr>
    </xdr:pic>
    <xdr:clientData/>
  </xdr:twoCellAnchor>
  <xdr:twoCellAnchor>
    <xdr:from>
      <xdr:col>14</xdr:col>
      <xdr:colOff>581384</xdr:colOff>
      <xdr:row>22</xdr:row>
      <xdr:rowOff>320682</xdr:rowOff>
    </xdr:from>
    <xdr:to>
      <xdr:col>26</xdr:col>
      <xdr:colOff>321189</xdr:colOff>
      <xdr:row>40</xdr:row>
      <xdr:rowOff>27935</xdr:rowOff>
    </xdr:to>
    <xdr:grpSp>
      <xdr:nvGrpSpPr>
        <xdr:cNvPr id="40" name="Group 39">
          <a:extLst>
            <a:ext uri="{FF2B5EF4-FFF2-40B4-BE49-F238E27FC236}">
              <a16:creationId xmlns:a16="http://schemas.microsoft.com/office/drawing/2014/main" id="{7A9C047B-C240-49F4-BE83-7D21E7C6BDE0}"/>
            </a:ext>
          </a:extLst>
        </xdr:cNvPr>
        <xdr:cNvGrpSpPr/>
      </xdr:nvGrpSpPr>
      <xdr:grpSpPr>
        <a:xfrm>
          <a:off x="9167823" y="4409462"/>
          <a:ext cx="7099610" cy="3517253"/>
          <a:chOff x="3325425" y="2806322"/>
          <a:chExt cx="5854686" cy="3290095"/>
        </a:xfrm>
        <a:solidFill>
          <a:schemeClr val="bg1"/>
        </a:solidFill>
        <a:effectLst>
          <a:outerShdw blurRad="50800" dist="38100" dir="2700000" algn="tl"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9FEF82BB-776A-527F-58E3-CDFD8DA996CA}"/>
              </a:ext>
            </a:extLst>
          </xdr:cNvPr>
          <xdr:cNvSpPr/>
        </xdr:nvSpPr>
        <xdr:spPr>
          <a:xfrm>
            <a:off x="3325425" y="2806322"/>
            <a:ext cx="5854686" cy="329009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2" name="Chart 41">
            <a:extLst>
              <a:ext uri="{FF2B5EF4-FFF2-40B4-BE49-F238E27FC236}">
                <a16:creationId xmlns:a16="http://schemas.microsoft.com/office/drawing/2014/main" id="{5581730B-0BED-1BF5-5D25-526BF6513F70}"/>
              </a:ext>
            </a:extLst>
          </xdr:cNvPr>
          <xdr:cNvGraphicFramePr>
            <a:graphicFrameLocks/>
          </xdr:cNvGraphicFramePr>
        </xdr:nvGraphicFramePr>
        <xdr:xfrm>
          <a:off x="3526260" y="2977881"/>
          <a:ext cx="5417593" cy="295848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27</xdr:col>
      <xdr:colOff>105103</xdr:colOff>
      <xdr:row>22</xdr:row>
      <xdr:rowOff>275896</xdr:rowOff>
    </xdr:from>
    <xdr:to>
      <xdr:col>38</xdr:col>
      <xdr:colOff>91966</xdr:colOff>
      <xdr:row>40</xdr:row>
      <xdr:rowOff>65690</xdr:rowOff>
    </xdr:to>
    <xdr:grpSp>
      <xdr:nvGrpSpPr>
        <xdr:cNvPr id="43" name="Group 42">
          <a:extLst>
            <a:ext uri="{FF2B5EF4-FFF2-40B4-BE49-F238E27FC236}">
              <a16:creationId xmlns:a16="http://schemas.microsoft.com/office/drawing/2014/main" id="{1F554CC5-827F-4CA4-AEA3-0747780982AB}"/>
            </a:ext>
          </a:extLst>
        </xdr:cNvPr>
        <xdr:cNvGrpSpPr/>
      </xdr:nvGrpSpPr>
      <xdr:grpSpPr>
        <a:xfrm>
          <a:off x="16664664" y="4364676"/>
          <a:ext cx="6733351" cy="3599794"/>
          <a:chOff x="9605939" y="1933862"/>
          <a:chExt cx="5569476" cy="3288633"/>
        </a:xfrm>
        <a:effectLst>
          <a:outerShdw blurRad="50800" dist="38100" dir="2700000" algn="tl" rotWithShape="0">
            <a:prstClr val="black">
              <a:alpha val="40000"/>
            </a:prstClr>
          </a:outerShdw>
        </a:effectLst>
      </xdr:grpSpPr>
      <xdr:sp macro="" textlink="">
        <xdr:nvSpPr>
          <xdr:cNvPr id="44" name="Rectangle: Rounded Corners 43">
            <a:extLst>
              <a:ext uri="{FF2B5EF4-FFF2-40B4-BE49-F238E27FC236}">
                <a16:creationId xmlns:a16="http://schemas.microsoft.com/office/drawing/2014/main" id="{F01888CE-1448-4291-A719-C5AF1C0124B2}"/>
              </a:ext>
            </a:extLst>
          </xdr:cNvPr>
          <xdr:cNvSpPr/>
        </xdr:nvSpPr>
        <xdr:spPr>
          <a:xfrm>
            <a:off x="9605939" y="1933862"/>
            <a:ext cx="5569476" cy="32886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F6E9098F-511E-55E9-D0FB-408370F1AC87}"/>
              </a:ext>
            </a:extLst>
          </xdr:cNvPr>
          <xdr:cNvGraphicFramePr>
            <a:graphicFrameLocks/>
          </xdr:cNvGraphicFramePr>
        </xdr:nvGraphicFramePr>
        <xdr:xfrm>
          <a:off x="9939320" y="2001547"/>
          <a:ext cx="4814118" cy="302163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38</xdr:col>
      <xdr:colOff>470647</xdr:colOff>
      <xdr:row>22</xdr:row>
      <xdr:rowOff>201706</xdr:rowOff>
    </xdr:from>
    <xdr:to>
      <xdr:col>48</xdr:col>
      <xdr:colOff>560294</xdr:colOff>
      <xdr:row>40</xdr:row>
      <xdr:rowOff>112059</xdr:rowOff>
    </xdr:to>
    <xdr:grpSp>
      <xdr:nvGrpSpPr>
        <xdr:cNvPr id="46" name="Group 45">
          <a:extLst>
            <a:ext uri="{FF2B5EF4-FFF2-40B4-BE49-F238E27FC236}">
              <a16:creationId xmlns:a16="http://schemas.microsoft.com/office/drawing/2014/main" id="{BF243E9D-C9A2-4B25-AD4B-14F3EA5526A2}"/>
            </a:ext>
          </a:extLst>
        </xdr:cNvPr>
        <xdr:cNvGrpSpPr/>
      </xdr:nvGrpSpPr>
      <xdr:grpSpPr>
        <a:xfrm>
          <a:off x="23776696" y="4290486"/>
          <a:ext cx="6222818" cy="3720353"/>
          <a:chOff x="15710366" y="2890959"/>
          <a:chExt cx="5571370" cy="3055559"/>
        </a:xfrm>
        <a:solidFill>
          <a:schemeClr val="bg1"/>
        </a:solidFill>
        <a:effectLst>
          <a:outerShdw blurRad="50800" dist="38100" dir="2700000" algn="tl" rotWithShape="0">
            <a:prstClr val="black">
              <a:alpha val="40000"/>
            </a:prstClr>
          </a:outerShdw>
        </a:effectLst>
      </xdr:grpSpPr>
      <xdr:sp macro="" textlink="">
        <xdr:nvSpPr>
          <xdr:cNvPr id="47" name="Rectangle: Rounded Corners 46">
            <a:extLst>
              <a:ext uri="{FF2B5EF4-FFF2-40B4-BE49-F238E27FC236}">
                <a16:creationId xmlns:a16="http://schemas.microsoft.com/office/drawing/2014/main" id="{4428403C-1B31-7E37-E1AD-AC19961A3059}"/>
              </a:ext>
            </a:extLst>
          </xdr:cNvPr>
          <xdr:cNvSpPr/>
        </xdr:nvSpPr>
        <xdr:spPr>
          <a:xfrm>
            <a:off x="15710366" y="2890959"/>
            <a:ext cx="5571370" cy="3055559"/>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8BCD1B50-6F47-26CD-F3B6-3FF75D5B0512}"/>
              </a:ext>
            </a:extLst>
          </xdr:cNvPr>
          <xdr:cNvGraphicFramePr>
            <a:graphicFrameLocks/>
          </xdr:cNvGraphicFramePr>
        </xdr:nvGraphicFramePr>
        <xdr:xfrm>
          <a:off x="15997219" y="3065368"/>
          <a:ext cx="4939303" cy="272142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15</xdr:col>
      <xdr:colOff>25831</xdr:colOff>
      <xdr:row>42</xdr:row>
      <xdr:rowOff>144363</xdr:rowOff>
    </xdr:from>
    <xdr:to>
      <xdr:col>26</xdr:col>
      <xdr:colOff>297051</xdr:colOff>
      <xdr:row>64</xdr:row>
      <xdr:rowOff>74333</xdr:rowOff>
    </xdr:to>
    <xdr:grpSp>
      <xdr:nvGrpSpPr>
        <xdr:cNvPr id="49" name="Group 48">
          <a:extLst>
            <a:ext uri="{FF2B5EF4-FFF2-40B4-BE49-F238E27FC236}">
              <a16:creationId xmlns:a16="http://schemas.microsoft.com/office/drawing/2014/main" id="{D03929A0-C9E7-4F20-B360-3AC39B2B446B}"/>
            </a:ext>
          </a:extLst>
        </xdr:cNvPr>
        <xdr:cNvGrpSpPr/>
      </xdr:nvGrpSpPr>
      <xdr:grpSpPr>
        <a:xfrm>
          <a:off x="9225587" y="8414851"/>
          <a:ext cx="7017708" cy="4018750"/>
          <a:chOff x="3520577" y="5693727"/>
          <a:chExt cx="5709122" cy="3699781"/>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456CA3CD-7DF6-15E3-022C-4218EC460E0C}"/>
              </a:ext>
            </a:extLst>
          </xdr:cNvPr>
          <xdr:cNvSpPr/>
        </xdr:nvSpPr>
        <xdr:spPr>
          <a:xfrm>
            <a:off x="3520577" y="5693727"/>
            <a:ext cx="5709122" cy="36997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250D1343-68F2-70F4-9B1D-482DF664FBB4}"/>
              </a:ext>
            </a:extLst>
          </xdr:cNvPr>
          <xdr:cNvGraphicFramePr>
            <a:graphicFrameLocks/>
          </xdr:cNvGraphicFramePr>
        </xdr:nvGraphicFramePr>
        <xdr:xfrm>
          <a:off x="3663071" y="5967830"/>
          <a:ext cx="5385990" cy="316168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27</xdr:col>
      <xdr:colOff>135467</xdr:colOff>
      <xdr:row>42</xdr:row>
      <xdr:rowOff>135468</xdr:rowOff>
    </xdr:from>
    <xdr:to>
      <xdr:col>38</xdr:col>
      <xdr:colOff>101600</xdr:colOff>
      <xdr:row>64</xdr:row>
      <xdr:rowOff>67733</xdr:rowOff>
    </xdr:to>
    <xdr:grpSp>
      <xdr:nvGrpSpPr>
        <xdr:cNvPr id="52" name="Group 51">
          <a:extLst>
            <a:ext uri="{FF2B5EF4-FFF2-40B4-BE49-F238E27FC236}">
              <a16:creationId xmlns:a16="http://schemas.microsoft.com/office/drawing/2014/main" id="{BE1A0060-5456-461C-A660-2A26ED4D046A}"/>
            </a:ext>
          </a:extLst>
        </xdr:cNvPr>
        <xdr:cNvGrpSpPr/>
      </xdr:nvGrpSpPr>
      <xdr:grpSpPr>
        <a:xfrm>
          <a:off x="16695028" y="8405956"/>
          <a:ext cx="6712621" cy="4021045"/>
          <a:chOff x="9502738" y="6651027"/>
          <a:chExt cx="5539539" cy="3578679"/>
        </a:xfrm>
        <a:effectLst>
          <a:outerShdw blurRad="50800" dist="38100" dir="2700000" algn="tl" rotWithShape="0">
            <a:prstClr val="black">
              <a:alpha val="40000"/>
            </a:prstClr>
          </a:outerShdw>
        </a:effectLst>
      </xdr:grpSpPr>
      <xdr:grpSp>
        <xdr:nvGrpSpPr>
          <xdr:cNvPr id="53" name="Group 52">
            <a:extLst>
              <a:ext uri="{FF2B5EF4-FFF2-40B4-BE49-F238E27FC236}">
                <a16:creationId xmlns:a16="http://schemas.microsoft.com/office/drawing/2014/main" id="{2E8EFC04-9433-5842-88E3-5FA5576B0C17}"/>
              </a:ext>
            </a:extLst>
          </xdr:cNvPr>
          <xdr:cNvGrpSpPr/>
        </xdr:nvGrpSpPr>
        <xdr:grpSpPr>
          <a:xfrm>
            <a:off x="9502738" y="6651027"/>
            <a:ext cx="5539539" cy="3578679"/>
            <a:chOff x="9643107" y="6780166"/>
            <a:chExt cx="5619749" cy="3624399"/>
          </a:xfrm>
        </xdr:grpSpPr>
        <xdr:sp macro="" textlink="">
          <xdr:nvSpPr>
            <xdr:cNvPr id="55" name="Rectangle: Rounded Corners 54">
              <a:extLst>
                <a:ext uri="{FF2B5EF4-FFF2-40B4-BE49-F238E27FC236}">
                  <a16:creationId xmlns:a16="http://schemas.microsoft.com/office/drawing/2014/main" id="{33559B1E-82DC-8DE7-78F5-F924FDB9672D}"/>
                </a:ext>
              </a:extLst>
            </xdr:cNvPr>
            <xdr:cNvSpPr/>
          </xdr:nvSpPr>
          <xdr:spPr>
            <a:xfrm>
              <a:off x="9643107" y="6780166"/>
              <a:ext cx="5619749" cy="36243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6" name="Chart 55">
              <a:extLst>
                <a:ext uri="{FF2B5EF4-FFF2-40B4-BE49-F238E27FC236}">
                  <a16:creationId xmlns:a16="http://schemas.microsoft.com/office/drawing/2014/main" id="{BA745039-B848-21BC-28FB-6F4308F28D69}"/>
                </a:ext>
              </a:extLst>
            </xdr:cNvPr>
            <xdr:cNvGraphicFramePr>
              <a:graphicFrameLocks/>
            </xdr:cNvGraphicFramePr>
          </xdr:nvGraphicFramePr>
          <xdr:xfrm>
            <a:off x="9808028" y="7003869"/>
            <a:ext cx="5230587" cy="3176996"/>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
        <xdr:nvSpPr>
          <xdr:cNvPr id="54" name="TextBox 53">
            <a:extLst>
              <a:ext uri="{FF2B5EF4-FFF2-40B4-BE49-F238E27FC236}">
                <a16:creationId xmlns:a16="http://schemas.microsoft.com/office/drawing/2014/main" id="{17D2FCD3-9504-4F2D-CD2B-BE9564C9801F}"/>
              </a:ext>
            </a:extLst>
          </xdr:cNvPr>
          <xdr:cNvSpPr txBox="1"/>
        </xdr:nvSpPr>
        <xdr:spPr>
          <a:xfrm>
            <a:off x="11121655" y="8205716"/>
            <a:ext cx="1503504" cy="60551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i="1">
                <a:solidFill>
                  <a:schemeClr val="tx1"/>
                </a:solidFill>
              </a:rPr>
              <a:t>PAYMENT MODE </a:t>
            </a:r>
          </a:p>
          <a:p>
            <a:r>
              <a:rPr lang="en-IN" sz="1800" b="1" i="1">
                <a:solidFill>
                  <a:schemeClr val="tx1"/>
                </a:solidFill>
              </a:rPr>
              <a:t>SALES ANALYSIS</a:t>
            </a:r>
          </a:p>
        </xdr:txBody>
      </xdr:sp>
    </xdr:grpSp>
    <xdr:clientData/>
  </xdr:twoCellAnchor>
  <xdr:twoCellAnchor>
    <xdr:from>
      <xdr:col>38</xdr:col>
      <xdr:colOff>575734</xdr:colOff>
      <xdr:row>42</xdr:row>
      <xdr:rowOff>135467</xdr:rowOff>
    </xdr:from>
    <xdr:to>
      <xdr:col>48</xdr:col>
      <xdr:colOff>524933</xdr:colOff>
      <xdr:row>63</xdr:row>
      <xdr:rowOff>152400</xdr:rowOff>
    </xdr:to>
    <xdr:grpSp>
      <xdr:nvGrpSpPr>
        <xdr:cNvPr id="57" name="Group 56">
          <a:extLst>
            <a:ext uri="{FF2B5EF4-FFF2-40B4-BE49-F238E27FC236}">
              <a16:creationId xmlns:a16="http://schemas.microsoft.com/office/drawing/2014/main" id="{FA98D57F-2D4F-4E86-B16B-78C9A7084F34}"/>
            </a:ext>
          </a:extLst>
        </xdr:cNvPr>
        <xdr:cNvGrpSpPr/>
      </xdr:nvGrpSpPr>
      <xdr:grpSpPr>
        <a:xfrm>
          <a:off x="23881783" y="8405955"/>
          <a:ext cx="6082370" cy="3919860"/>
          <a:chOff x="15731612" y="6790051"/>
          <a:chExt cx="5461820" cy="3609913"/>
        </a:xfrm>
        <a:solidFill>
          <a:schemeClr val="bg1"/>
        </a:solidFill>
        <a:effectLst>
          <a:outerShdw blurRad="50800" dist="38100" dir="2700000" algn="tl" rotWithShape="0">
            <a:prstClr val="black">
              <a:alpha val="40000"/>
            </a:prstClr>
          </a:outerShdw>
        </a:effectLst>
      </xdr:grpSpPr>
      <xdr:sp macro="" textlink="">
        <xdr:nvSpPr>
          <xdr:cNvPr id="58" name="Rectangle: Rounded Corners 57">
            <a:extLst>
              <a:ext uri="{FF2B5EF4-FFF2-40B4-BE49-F238E27FC236}">
                <a16:creationId xmlns:a16="http://schemas.microsoft.com/office/drawing/2014/main" id="{5FDCB6CE-F609-6B70-5CED-B2009D6CBEDE}"/>
              </a:ext>
            </a:extLst>
          </xdr:cNvPr>
          <xdr:cNvSpPr/>
        </xdr:nvSpPr>
        <xdr:spPr>
          <a:xfrm>
            <a:off x="15731612" y="6790051"/>
            <a:ext cx="5461820" cy="360991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9" name="Chart 58">
            <a:extLst>
              <a:ext uri="{FF2B5EF4-FFF2-40B4-BE49-F238E27FC236}">
                <a16:creationId xmlns:a16="http://schemas.microsoft.com/office/drawing/2014/main" id="{488217FE-C3D8-C301-D2EB-AD2DB6F3AF27}"/>
              </a:ext>
            </a:extLst>
          </xdr:cNvPr>
          <xdr:cNvGraphicFramePr>
            <a:graphicFrameLocks/>
          </xdr:cNvGraphicFramePr>
        </xdr:nvGraphicFramePr>
        <xdr:xfrm>
          <a:off x="15929811" y="6965482"/>
          <a:ext cx="5037221" cy="322125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8</xdr:col>
      <xdr:colOff>33866</xdr:colOff>
      <xdr:row>19</xdr:row>
      <xdr:rowOff>67733</xdr:rowOff>
    </xdr:from>
    <xdr:to>
      <xdr:col>14</xdr:col>
      <xdr:colOff>50800</xdr:colOff>
      <xdr:row>32</xdr:row>
      <xdr:rowOff>67733</xdr:rowOff>
    </xdr:to>
    <mc:AlternateContent xmlns:mc="http://schemas.openxmlformats.org/markup-compatibility/2006" xmlns:a14="http://schemas.microsoft.com/office/drawing/2010/main">
      <mc:Choice Requires="a14">
        <xdr:graphicFrame macro="">
          <xdr:nvGraphicFramePr>
            <xdr:cNvPr id="60" name="Product">
              <a:extLst>
                <a:ext uri="{FF2B5EF4-FFF2-40B4-BE49-F238E27FC236}">
                  <a16:creationId xmlns:a16="http://schemas.microsoft.com/office/drawing/2014/main" id="{BF36866E-8B85-416F-B89A-45ED5A8BC6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34572" y="3474321"/>
              <a:ext cx="3692463" cy="2808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16934</xdr:colOff>
      <xdr:row>33</xdr:row>
      <xdr:rowOff>169333</xdr:rowOff>
    </xdr:from>
    <xdr:to>
      <xdr:col>14</xdr:col>
      <xdr:colOff>16934</xdr:colOff>
      <xdr:row>47</xdr:row>
      <xdr:rowOff>101600</xdr:rowOff>
    </xdr:to>
    <mc:AlternateContent xmlns:mc="http://schemas.openxmlformats.org/markup-compatibility/2006" xmlns:a14="http://schemas.microsoft.com/office/drawing/2010/main">
      <mc:Choice Requires="a14">
        <xdr:graphicFrame macro="">
          <xdr:nvGraphicFramePr>
            <xdr:cNvPr id="61" name="ReferralSource">
              <a:extLst>
                <a:ext uri="{FF2B5EF4-FFF2-40B4-BE49-F238E27FC236}">
                  <a16:creationId xmlns:a16="http://schemas.microsoft.com/office/drawing/2014/main" id="{FE27B26B-BED9-49C2-86FB-188518B3E217}"/>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4917640" y="6564157"/>
              <a:ext cx="3675529" cy="2442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16933</xdr:colOff>
      <xdr:row>48</xdr:row>
      <xdr:rowOff>118533</xdr:rowOff>
    </xdr:from>
    <xdr:to>
      <xdr:col>14</xdr:col>
      <xdr:colOff>0</xdr:colOff>
      <xdr:row>64</xdr:row>
      <xdr:rowOff>152399</xdr:rowOff>
    </xdr:to>
    <mc:AlternateContent xmlns:mc="http://schemas.openxmlformats.org/markup-compatibility/2006" xmlns:a14="http://schemas.microsoft.com/office/drawing/2010/main">
      <mc:Choice Requires="a14">
        <xdr:graphicFrame macro="">
          <xdr:nvGraphicFramePr>
            <xdr:cNvPr id="62" name="PaymentMethod">
              <a:extLst>
                <a:ext uri="{FF2B5EF4-FFF2-40B4-BE49-F238E27FC236}">
                  <a16:creationId xmlns:a16="http://schemas.microsoft.com/office/drawing/2014/main" id="{E89FD247-54FB-4275-B876-E6ABBC246D5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4917639" y="9202768"/>
              <a:ext cx="3658596" cy="2902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hir Apkare" refreshedDate="46233.491235069443" createdVersion="8" refreshedVersion="8" minRefreshableVersion="3" recordCount="1200" xr:uid="{37143DCE-EEE1-4594-BA8A-ED1DF6E87EE7}">
  <cacheSource type="worksheet">
    <worksheetSource name="Table1"/>
  </cacheSource>
  <cacheFields count="19">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8"/>
    </cacheField>
    <cacheField name="CustomerID" numFmtId="0">
      <sharedItems/>
    </cacheField>
    <cacheField name="Product" numFmtId="0">
      <sharedItems count="7">
        <s v="Monitor"/>
        <s v="Phone"/>
        <s v="Tablet"/>
        <s v="TV"/>
        <s v="Printer"/>
        <s v="Laptop"/>
        <s v="Refrigerator"/>
      </sharedItems>
    </cacheField>
    <cacheField name="Quantity" numFmtId="0">
      <sharedItems containsSemiMixedTypes="0" containsString="0" containsNumber="1" containsInteger="1" minValue="1" maxValue="3"/>
    </cacheField>
    <cacheField name="UnitPrice" numFmtId="0">
      <sharedItems containsSemiMixedTypes="0" containsString="0" containsNumber="1" containsInteger="1" minValue="1019" maxValue="79896"/>
    </cacheField>
    <cacheField name="Discount" numFmtId="0">
      <sharedItems containsSemiMixedTypes="0" containsString="0" containsNumber="1" minValue="0" maxValue="0.5"/>
    </cacheField>
    <cacheField name="ShippingAddress" numFmtId="0">
      <sharedItems/>
    </cacheField>
    <cacheField name="PaymentMethod" numFmtId="0">
      <sharedItems count="5">
        <s v="Debit Card"/>
        <s v="Online"/>
        <s v="Credit Card"/>
        <s v="Gift Card"/>
        <s v="Cash"/>
      </sharedItems>
    </cacheField>
    <cacheField name="TrackingNumber" numFmtId="0">
      <sharedItems/>
    </cacheField>
    <cacheField name="Order Status" numFmtId="0">
      <sharedItems count="3">
        <s v="Shipped"/>
        <s v="Delivered"/>
        <s v="Pending"/>
      </sharedItems>
    </cacheField>
    <cacheField name="ItemsInCart" numFmtId="0">
      <sharedItems containsSemiMixedTypes="0" containsString="0" containsNumber="1" containsInteger="1" minValue="1" maxValue="10"/>
    </cacheField>
    <cacheField name="ReferralSource" numFmtId="0">
      <sharedItems count="5">
        <s v="Instagram"/>
        <s v="Referral"/>
        <s v="Email"/>
        <s v="Facebook"/>
        <s v="Google"/>
      </sharedItems>
    </cacheField>
    <cacheField name="Total Price" numFmtId="0">
      <sharedItems containsSemiMixedTypes="0" containsString="0" containsNumber="1" containsInteger="1" minValue="1075" maxValue="236364"/>
    </cacheField>
    <cacheField name="Discount Amount" numFmtId="0">
      <sharedItems containsSemiMixedTypes="0" containsString="0" containsNumber="1" minValue="0" maxValue="95022.27"/>
    </cacheField>
    <cacheField name="Net Price" numFmtId="0">
      <sharedItems containsSemiMixedTypes="0" containsString="0" containsNumber="1" minValue="563.5" maxValue="203903.7"/>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109192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1"/>
    <n v="8576"/>
    <n v="0.31"/>
    <s v="928 Main St"/>
    <x v="0"/>
    <s v="TRK37947903"/>
    <x v="0"/>
    <n v="7"/>
    <x v="0"/>
    <n v="8576"/>
    <n v="2658.56"/>
    <n v="5917.4400000000005"/>
  </r>
  <r>
    <s v="ORD200001"/>
    <x v="1"/>
    <s v="C75739"/>
    <x v="1"/>
    <n v="2"/>
    <n v="44978"/>
    <n v="0.38"/>
    <s v="823 Main St"/>
    <x v="1"/>
    <s v="TRK91186779"/>
    <x v="0"/>
    <n v="3"/>
    <x v="1"/>
    <n v="89956"/>
    <n v="34183.279999999999"/>
    <n v="55772.72"/>
  </r>
  <r>
    <s v="ORD200002"/>
    <x v="2"/>
    <s v="C81728"/>
    <x v="2"/>
    <n v="2"/>
    <n v="4847"/>
    <n v="0.1"/>
    <s v="512 Main St"/>
    <x v="2"/>
    <s v="TRK42903982"/>
    <x v="0"/>
    <n v="8"/>
    <x v="2"/>
    <n v="9694"/>
    <n v="969.40000000000009"/>
    <n v="8724.6"/>
  </r>
  <r>
    <s v="ORD200003"/>
    <x v="3"/>
    <s v="C33540"/>
    <x v="3"/>
    <n v="1"/>
    <n v="24095"/>
    <n v="0.27"/>
    <s v="275 Main St"/>
    <x v="0"/>
    <s v="TRK62788070"/>
    <x v="1"/>
    <n v="5"/>
    <x v="3"/>
    <n v="24095"/>
    <n v="6505.6500000000005"/>
    <n v="17589.349999999999"/>
  </r>
  <r>
    <s v="ORD200004"/>
    <x v="4"/>
    <s v="C81840"/>
    <x v="4"/>
    <n v="1"/>
    <n v="8570"/>
    <n v="0"/>
    <s v="668 Main St"/>
    <x v="1"/>
    <s v="TRK29241424"/>
    <x v="1"/>
    <n v="8"/>
    <x v="2"/>
    <n v="8570"/>
    <n v="0"/>
    <n v="8570"/>
  </r>
  <r>
    <s v="ORD200005"/>
    <x v="5"/>
    <s v="C37249"/>
    <x v="1"/>
    <n v="3"/>
    <n v="31675"/>
    <n v="0.02"/>
    <s v="934 Main St"/>
    <x v="2"/>
    <s v="TRK72976927"/>
    <x v="0"/>
    <n v="4"/>
    <x v="0"/>
    <n v="95025"/>
    <n v="1900.5"/>
    <n v="93124.5"/>
  </r>
  <r>
    <s v="ORD200006"/>
    <x v="6"/>
    <s v="C83492"/>
    <x v="5"/>
    <n v="2"/>
    <n v="79896"/>
    <n v="0.16"/>
    <s v="986 Main St"/>
    <x v="3"/>
    <s v="TRK96417362"/>
    <x v="2"/>
    <n v="6"/>
    <x v="3"/>
    <n v="159792"/>
    <n v="25566.720000000001"/>
    <n v="134225.28"/>
  </r>
  <r>
    <s v="ORD200007"/>
    <x v="7"/>
    <s v="C41460"/>
    <x v="0"/>
    <n v="3"/>
    <n v="9326"/>
    <n v="0.23"/>
    <s v="706 Main St"/>
    <x v="4"/>
    <s v="TRK78809193"/>
    <x v="0"/>
    <n v="9"/>
    <x v="3"/>
    <n v="27978"/>
    <n v="6434.9400000000005"/>
    <n v="21543.059999999998"/>
  </r>
  <r>
    <s v="ORD200008"/>
    <x v="8"/>
    <s v="C26817"/>
    <x v="1"/>
    <n v="3"/>
    <n v="35294"/>
    <n v="0.28999999999999998"/>
    <s v="904 Main St"/>
    <x v="3"/>
    <s v="TRK61042692"/>
    <x v="1"/>
    <n v="2"/>
    <x v="2"/>
    <n v="105882"/>
    <n v="30705.78"/>
    <n v="75176.22"/>
  </r>
  <r>
    <s v="ORD200009"/>
    <x v="9"/>
    <s v="C31946"/>
    <x v="6"/>
    <n v="3"/>
    <n v="7273"/>
    <n v="0.44"/>
    <s v="102 Main St"/>
    <x v="2"/>
    <s v="TRK33478363"/>
    <x v="0"/>
    <n v="6"/>
    <x v="4"/>
    <n v="21819"/>
    <n v="9600.36"/>
    <n v="12218.64"/>
  </r>
  <r>
    <s v="ORD200010"/>
    <x v="10"/>
    <s v="C43443"/>
    <x v="2"/>
    <n v="2"/>
    <n v="5055"/>
    <n v="0.39"/>
    <s v="333 Main St"/>
    <x v="2"/>
    <s v="TRK98859248"/>
    <x v="2"/>
    <n v="9"/>
    <x v="0"/>
    <n v="10110"/>
    <n v="3942.9"/>
    <n v="6167.1"/>
  </r>
  <r>
    <s v="ORD200011"/>
    <x v="11"/>
    <s v="C93861"/>
    <x v="0"/>
    <n v="1"/>
    <n v="4736"/>
    <n v="0.15"/>
    <s v="831 Main St"/>
    <x v="1"/>
    <s v="TRK48234646"/>
    <x v="2"/>
    <n v="7"/>
    <x v="2"/>
    <n v="4736"/>
    <n v="710.4"/>
    <n v="4025.6"/>
  </r>
  <r>
    <s v="ORD200012"/>
    <x v="12"/>
    <s v="C38785"/>
    <x v="0"/>
    <n v="3"/>
    <n v="2114"/>
    <n v="0.37"/>
    <s v="179 Main St"/>
    <x v="0"/>
    <s v="TRK20419991"/>
    <x v="2"/>
    <n v="6"/>
    <x v="1"/>
    <n v="6342"/>
    <n v="2346.54"/>
    <n v="3995.46"/>
  </r>
  <r>
    <s v="ORD200013"/>
    <x v="13"/>
    <s v="C88348"/>
    <x v="5"/>
    <n v="1"/>
    <n v="59956"/>
    <n v="0.27"/>
    <s v="903 Main St"/>
    <x v="2"/>
    <s v="TRK81913874"/>
    <x v="0"/>
    <n v="4"/>
    <x v="3"/>
    <n v="59956"/>
    <n v="16188.12"/>
    <n v="43767.88"/>
  </r>
  <r>
    <s v="ORD200014"/>
    <x v="14"/>
    <s v="C98474"/>
    <x v="2"/>
    <n v="2"/>
    <n v="19819"/>
    <n v="0.39"/>
    <s v="980 Main St"/>
    <x v="0"/>
    <s v="TRK79186539"/>
    <x v="2"/>
    <n v="3"/>
    <x v="0"/>
    <n v="39638"/>
    <n v="15458.82"/>
    <n v="24179.18"/>
  </r>
  <r>
    <s v="ORD200015"/>
    <x v="15"/>
    <s v="C39416"/>
    <x v="4"/>
    <n v="1"/>
    <n v="7852"/>
    <n v="0.21"/>
    <s v="942 Main St"/>
    <x v="4"/>
    <s v="TRK54930938"/>
    <x v="1"/>
    <n v="3"/>
    <x v="4"/>
    <n v="7852"/>
    <n v="1648.9199999999998"/>
    <n v="6203.08"/>
  </r>
  <r>
    <s v="ORD200016"/>
    <x v="16"/>
    <s v="C28976"/>
    <x v="4"/>
    <n v="2"/>
    <n v="7201"/>
    <n v="0.05"/>
    <s v="914 Main St"/>
    <x v="2"/>
    <s v="TRK13194259"/>
    <x v="2"/>
    <n v="3"/>
    <x v="2"/>
    <n v="14402"/>
    <n v="720.1"/>
    <n v="13681.9"/>
  </r>
  <r>
    <s v="ORD200017"/>
    <x v="17"/>
    <s v="C60672"/>
    <x v="2"/>
    <n v="3"/>
    <n v="18660"/>
    <n v="0.31"/>
    <s v="382 Main St"/>
    <x v="0"/>
    <s v="TRK11972116"/>
    <x v="0"/>
    <n v="3"/>
    <x v="1"/>
    <n v="55980"/>
    <n v="17353.8"/>
    <n v="38626.199999999997"/>
  </r>
  <r>
    <s v="ORD200018"/>
    <x v="18"/>
    <s v="C84329"/>
    <x v="6"/>
    <n v="1"/>
    <n v="4976"/>
    <n v="0.28000000000000003"/>
    <s v="891 Main St"/>
    <x v="3"/>
    <s v="TRK65191045"/>
    <x v="2"/>
    <n v="3"/>
    <x v="3"/>
    <n v="4976"/>
    <n v="1393.2800000000002"/>
    <n v="3582.72"/>
  </r>
  <r>
    <s v="ORD200019"/>
    <x v="19"/>
    <s v="C14552"/>
    <x v="0"/>
    <n v="3"/>
    <n v="4731"/>
    <n v="0.48"/>
    <s v="273 Main St"/>
    <x v="4"/>
    <s v="TRK59101365"/>
    <x v="0"/>
    <n v="9"/>
    <x v="4"/>
    <n v="14193"/>
    <n v="6812.6399999999994"/>
    <n v="7380.3600000000006"/>
  </r>
  <r>
    <s v="ORD200020"/>
    <x v="20"/>
    <s v="C54829"/>
    <x v="3"/>
    <n v="2"/>
    <n v="37420"/>
    <n v="0.08"/>
    <s v="587 Main St"/>
    <x v="4"/>
    <s v="TRK16718651"/>
    <x v="2"/>
    <n v="9"/>
    <x v="0"/>
    <n v="74840"/>
    <n v="5987.2"/>
    <n v="68852.800000000003"/>
  </r>
  <r>
    <s v="ORD200021"/>
    <x v="21"/>
    <s v="C99023"/>
    <x v="0"/>
    <n v="2"/>
    <n v="6745"/>
    <n v="0.33"/>
    <s v="569 Main St"/>
    <x v="4"/>
    <s v="TRK52646983"/>
    <x v="1"/>
    <n v="6"/>
    <x v="4"/>
    <n v="13490"/>
    <n v="4451.7"/>
    <n v="9038.2999999999993"/>
  </r>
  <r>
    <s v="ORD200022"/>
    <x v="22"/>
    <s v="C34416"/>
    <x v="0"/>
    <n v="1"/>
    <n v="2395"/>
    <n v="0.24"/>
    <s v="633 Main St"/>
    <x v="1"/>
    <s v="TRK75937350"/>
    <x v="2"/>
    <n v="2"/>
    <x v="4"/>
    <n v="2395"/>
    <n v="574.79999999999995"/>
    <n v="1820.2"/>
  </r>
  <r>
    <s v="ORD200023"/>
    <x v="23"/>
    <s v="C42372"/>
    <x v="1"/>
    <n v="3"/>
    <n v="26613"/>
    <n v="0.19"/>
    <s v="755 Main St"/>
    <x v="0"/>
    <s v="TRK36168083"/>
    <x v="1"/>
    <n v="5"/>
    <x v="1"/>
    <n v="79839"/>
    <n v="15169.41"/>
    <n v="64669.59"/>
  </r>
  <r>
    <s v="ORD200024"/>
    <x v="24"/>
    <s v="C17470"/>
    <x v="5"/>
    <n v="1"/>
    <n v="27787"/>
    <n v="0.4"/>
    <s v="956 Main St"/>
    <x v="1"/>
    <s v="TRK28775057"/>
    <x v="1"/>
    <n v="3"/>
    <x v="1"/>
    <n v="27787"/>
    <n v="11114.800000000001"/>
    <n v="16672.199999999997"/>
  </r>
  <r>
    <s v="ORD200025"/>
    <x v="25"/>
    <s v="C42577"/>
    <x v="0"/>
    <n v="1"/>
    <n v="3222"/>
    <n v="0.41"/>
    <s v="709 Main St"/>
    <x v="0"/>
    <s v="TRK69423327"/>
    <x v="1"/>
    <n v="3"/>
    <x v="2"/>
    <n v="3222"/>
    <n v="1321.02"/>
    <n v="1900.98"/>
  </r>
  <r>
    <s v="ORD200026"/>
    <x v="26"/>
    <s v="C21944"/>
    <x v="5"/>
    <n v="2"/>
    <n v="33145"/>
    <n v="0.36"/>
    <s v="296 Main St"/>
    <x v="1"/>
    <s v="TRK80276812"/>
    <x v="1"/>
    <n v="6"/>
    <x v="1"/>
    <n v="66290"/>
    <n v="23864.399999999998"/>
    <n v="42425.600000000006"/>
  </r>
  <r>
    <s v="ORD200027"/>
    <x v="27"/>
    <s v="C97593"/>
    <x v="4"/>
    <n v="2"/>
    <n v="5662"/>
    <n v="0.04"/>
    <s v="881 Main St"/>
    <x v="1"/>
    <s v="TRK89117573"/>
    <x v="0"/>
    <n v="6"/>
    <x v="4"/>
    <n v="11324"/>
    <n v="452.96000000000004"/>
    <n v="10871.04"/>
  </r>
  <r>
    <s v="ORD200028"/>
    <x v="9"/>
    <s v="C59823"/>
    <x v="1"/>
    <n v="3"/>
    <n v="33325"/>
    <n v="0.17"/>
    <s v="568 Main St"/>
    <x v="1"/>
    <s v="TRK65895539"/>
    <x v="2"/>
    <n v="5"/>
    <x v="2"/>
    <n v="99975"/>
    <n v="16995.75"/>
    <n v="82979.25"/>
  </r>
  <r>
    <s v="ORD200029"/>
    <x v="28"/>
    <s v="C33260"/>
    <x v="6"/>
    <n v="3"/>
    <n v="3364"/>
    <n v="0.02"/>
    <s v="930 Main St"/>
    <x v="2"/>
    <s v="TRK59744090"/>
    <x v="1"/>
    <n v="6"/>
    <x v="1"/>
    <n v="10092"/>
    <n v="201.84"/>
    <n v="9890.16"/>
  </r>
  <r>
    <s v="ORD200030"/>
    <x v="29"/>
    <s v="C44267"/>
    <x v="0"/>
    <n v="1"/>
    <n v="2540"/>
    <n v="0.17"/>
    <s v="895 Main St"/>
    <x v="1"/>
    <s v="TRK54751444"/>
    <x v="2"/>
    <n v="5"/>
    <x v="1"/>
    <n v="2540"/>
    <n v="431.8"/>
    <n v="2108.1999999999998"/>
  </r>
  <r>
    <s v="ORD200031"/>
    <x v="30"/>
    <s v="C26445"/>
    <x v="3"/>
    <n v="2"/>
    <n v="15825"/>
    <n v="0.32"/>
    <s v="996 Main St"/>
    <x v="0"/>
    <s v="TRK31229981"/>
    <x v="0"/>
    <n v="6"/>
    <x v="3"/>
    <n v="31650"/>
    <n v="10128"/>
    <n v="21522"/>
  </r>
  <r>
    <s v="ORD200032"/>
    <x v="31"/>
    <s v="C12388"/>
    <x v="2"/>
    <n v="1"/>
    <n v="4234"/>
    <n v="0.26"/>
    <s v="830 Main St"/>
    <x v="4"/>
    <s v="TRK99261395"/>
    <x v="1"/>
    <n v="10"/>
    <x v="2"/>
    <n v="4234"/>
    <n v="1100.8400000000001"/>
    <n v="3133.16"/>
  </r>
  <r>
    <s v="ORD200033"/>
    <x v="32"/>
    <s v="C52184"/>
    <x v="3"/>
    <n v="3"/>
    <n v="43700"/>
    <n v="0.35"/>
    <s v="912 Main St"/>
    <x v="1"/>
    <s v="TRK73312471"/>
    <x v="0"/>
    <n v="4"/>
    <x v="3"/>
    <n v="131100"/>
    <n v="45885"/>
    <n v="85215"/>
  </r>
  <r>
    <s v="ORD200034"/>
    <x v="33"/>
    <s v="C67195"/>
    <x v="3"/>
    <n v="3"/>
    <n v="42865"/>
    <n v="0.28000000000000003"/>
    <s v="926 Main St"/>
    <x v="2"/>
    <s v="TRK55467915"/>
    <x v="2"/>
    <n v="5"/>
    <x v="3"/>
    <n v="128595"/>
    <n v="36006.600000000006"/>
    <n v="92588.4"/>
  </r>
  <r>
    <s v="ORD200035"/>
    <x v="34"/>
    <s v="C50304"/>
    <x v="0"/>
    <n v="2"/>
    <n v="6559"/>
    <n v="0.28000000000000003"/>
    <s v="128 Main St"/>
    <x v="1"/>
    <s v="TRK46850888"/>
    <x v="0"/>
    <n v="2"/>
    <x v="3"/>
    <n v="13118"/>
    <n v="3673.0400000000004"/>
    <n v="9444.9599999999991"/>
  </r>
  <r>
    <s v="ORD200036"/>
    <x v="4"/>
    <s v="C59337"/>
    <x v="5"/>
    <n v="3"/>
    <n v="41679"/>
    <n v="0.26"/>
    <s v="465 Main St"/>
    <x v="0"/>
    <s v="TRK50961250"/>
    <x v="2"/>
    <n v="5"/>
    <x v="3"/>
    <n v="125037"/>
    <n v="32509.620000000003"/>
    <n v="92527.38"/>
  </r>
  <r>
    <s v="ORD200037"/>
    <x v="35"/>
    <s v="C10054"/>
    <x v="5"/>
    <n v="2"/>
    <n v="65409"/>
    <n v="0.18"/>
    <s v="409 Main St"/>
    <x v="4"/>
    <s v="TRK94005261"/>
    <x v="0"/>
    <n v="7"/>
    <x v="0"/>
    <n v="130818"/>
    <n v="23547.239999999998"/>
    <n v="107270.76000000001"/>
  </r>
  <r>
    <s v="ORD200038"/>
    <x v="36"/>
    <s v="C15924"/>
    <x v="5"/>
    <n v="3"/>
    <n v="38316"/>
    <n v="0.22"/>
    <s v="549 Main St"/>
    <x v="0"/>
    <s v="TRK14835975"/>
    <x v="1"/>
    <n v="3"/>
    <x v="4"/>
    <n v="114948"/>
    <n v="25288.560000000001"/>
    <n v="89659.44"/>
  </r>
  <r>
    <s v="ORD200039"/>
    <x v="37"/>
    <s v="C96664"/>
    <x v="4"/>
    <n v="1"/>
    <n v="5443"/>
    <n v="0.06"/>
    <s v="666 Main St"/>
    <x v="2"/>
    <s v="TRK85508960"/>
    <x v="1"/>
    <n v="4"/>
    <x v="1"/>
    <n v="5443"/>
    <n v="326.58"/>
    <n v="5116.42"/>
  </r>
  <r>
    <s v="ORD200040"/>
    <x v="38"/>
    <s v="C84766"/>
    <x v="6"/>
    <n v="3"/>
    <n v="9969"/>
    <n v="0.42"/>
    <s v="267 Main St"/>
    <x v="1"/>
    <s v="TRK78967923"/>
    <x v="1"/>
    <n v="4"/>
    <x v="0"/>
    <n v="29907"/>
    <n v="12560.939999999999"/>
    <n v="17346.060000000001"/>
  </r>
  <r>
    <s v="ORD200041"/>
    <x v="39"/>
    <s v="C20212"/>
    <x v="0"/>
    <n v="1"/>
    <n v="2737"/>
    <n v="0.44"/>
    <s v="657 Main St"/>
    <x v="3"/>
    <s v="TRK69733327"/>
    <x v="2"/>
    <n v="4"/>
    <x v="0"/>
    <n v="2737"/>
    <n v="1204.28"/>
    <n v="1532.72"/>
  </r>
  <r>
    <s v="ORD200042"/>
    <x v="40"/>
    <s v="C28712"/>
    <x v="4"/>
    <n v="3"/>
    <n v="5989"/>
    <n v="0.38"/>
    <s v="980 Main St"/>
    <x v="4"/>
    <s v="TRK40772558"/>
    <x v="2"/>
    <n v="6"/>
    <x v="0"/>
    <n v="17967"/>
    <n v="6827.46"/>
    <n v="11139.54"/>
  </r>
  <r>
    <s v="ORD200043"/>
    <x v="41"/>
    <s v="C60572"/>
    <x v="3"/>
    <n v="3"/>
    <n v="33238"/>
    <n v="0.28999999999999998"/>
    <s v="871 Main St"/>
    <x v="1"/>
    <s v="TRK20351666"/>
    <x v="2"/>
    <n v="8"/>
    <x v="0"/>
    <n v="99714"/>
    <n v="28917.059999999998"/>
    <n v="70796.94"/>
  </r>
  <r>
    <s v="ORD200044"/>
    <x v="42"/>
    <s v="C73225"/>
    <x v="1"/>
    <n v="2"/>
    <n v="31435"/>
    <n v="0.28000000000000003"/>
    <s v="996 Main St"/>
    <x v="3"/>
    <s v="TRK73848522"/>
    <x v="0"/>
    <n v="3"/>
    <x v="1"/>
    <n v="62870"/>
    <n v="17603.600000000002"/>
    <n v="45266.399999999994"/>
  </r>
  <r>
    <s v="ORD200045"/>
    <x v="43"/>
    <s v="C17388"/>
    <x v="3"/>
    <n v="1"/>
    <n v="16498"/>
    <n v="0.24"/>
    <s v="157 Main St"/>
    <x v="0"/>
    <s v="TRK47077395"/>
    <x v="2"/>
    <n v="1"/>
    <x v="3"/>
    <n v="16498"/>
    <n v="3959.52"/>
    <n v="12538.48"/>
  </r>
  <r>
    <s v="ORD200046"/>
    <x v="44"/>
    <s v="C43212"/>
    <x v="0"/>
    <n v="3"/>
    <n v="1782"/>
    <n v="0.12"/>
    <s v="223 Main St"/>
    <x v="0"/>
    <s v="TRK25100762"/>
    <x v="2"/>
    <n v="4"/>
    <x v="0"/>
    <n v="5346"/>
    <n v="641.52"/>
    <n v="4704.4799999999996"/>
  </r>
  <r>
    <s v="ORD200047"/>
    <x v="45"/>
    <s v="C38134"/>
    <x v="6"/>
    <n v="2"/>
    <n v="6107"/>
    <n v="0.19"/>
    <s v="323 Main St"/>
    <x v="2"/>
    <s v="TRK42450754"/>
    <x v="1"/>
    <n v="3"/>
    <x v="2"/>
    <n v="12214"/>
    <n v="2320.66"/>
    <n v="9893.34"/>
  </r>
  <r>
    <s v="ORD200048"/>
    <x v="46"/>
    <s v="C12408"/>
    <x v="0"/>
    <n v="2"/>
    <n v="6404"/>
    <n v="0.49"/>
    <s v="464 Main St"/>
    <x v="0"/>
    <s v="TRK38938858"/>
    <x v="0"/>
    <n v="4"/>
    <x v="4"/>
    <n v="12808"/>
    <n v="6275.92"/>
    <n v="6532.08"/>
  </r>
  <r>
    <s v="ORD200049"/>
    <x v="47"/>
    <s v="C11985"/>
    <x v="4"/>
    <n v="1"/>
    <n v="8192"/>
    <n v="7.0000000000000007E-2"/>
    <s v="633 Main St"/>
    <x v="2"/>
    <s v="TRK53272402"/>
    <x v="0"/>
    <n v="1"/>
    <x v="2"/>
    <n v="8192"/>
    <n v="573.44000000000005"/>
    <n v="7618.5599999999995"/>
  </r>
  <r>
    <s v="ORD200050"/>
    <x v="48"/>
    <s v="C96494"/>
    <x v="2"/>
    <n v="1"/>
    <n v="16203"/>
    <n v="0.27"/>
    <s v="446 Main St"/>
    <x v="1"/>
    <s v="TRK14675049"/>
    <x v="1"/>
    <n v="6"/>
    <x v="0"/>
    <n v="16203"/>
    <n v="4374.8100000000004"/>
    <n v="11828.189999999999"/>
  </r>
  <r>
    <s v="ORD200051"/>
    <x v="49"/>
    <s v="C36778"/>
    <x v="2"/>
    <n v="2"/>
    <n v="3635"/>
    <n v="0.43"/>
    <s v="434 Main St"/>
    <x v="4"/>
    <s v="TRK67610289"/>
    <x v="1"/>
    <n v="2"/>
    <x v="3"/>
    <n v="7270"/>
    <n v="3126.1"/>
    <n v="4143.8999999999996"/>
  </r>
  <r>
    <s v="ORD200052"/>
    <x v="50"/>
    <s v="C30513"/>
    <x v="2"/>
    <n v="3"/>
    <n v="13026"/>
    <n v="0.23"/>
    <s v="232 Main St"/>
    <x v="1"/>
    <s v="TRK64320429"/>
    <x v="0"/>
    <n v="5"/>
    <x v="3"/>
    <n v="39078"/>
    <n v="8987.94"/>
    <n v="30090.059999999998"/>
  </r>
  <r>
    <s v="ORD200053"/>
    <x v="51"/>
    <s v="C67551"/>
    <x v="1"/>
    <n v="3"/>
    <n v="33116"/>
    <n v="0.3"/>
    <s v="512 Main St"/>
    <x v="1"/>
    <s v="TRK94992552"/>
    <x v="2"/>
    <n v="5"/>
    <x v="4"/>
    <n v="99348"/>
    <n v="29804.399999999998"/>
    <n v="69543.600000000006"/>
  </r>
  <r>
    <s v="ORD200054"/>
    <x v="52"/>
    <s v="C48120"/>
    <x v="3"/>
    <n v="2"/>
    <n v="15990"/>
    <n v="0.41"/>
    <s v="623 Main St"/>
    <x v="1"/>
    <s v="TRK11014449"/>
    <x v="2"/>
    <n v="5"/>
    <x v="2"/>
    <n v="31980"/>
    <n v="13111.8"/>
    <n v="18868.2"/>
  </r>
  <r>
    <s v="ORD200055"/>
    <x v="53"/>
    <s v="C95984"/>
    <x v="4"/>
    <n v="3"/>
    <n v="8053"/>
    <n v="0.27"/>
    <s v="565 Main St"/>
    <x v="1"/>
    <s v="TRK67434829"/>
    <x v="0"/>
    <n v="3"/>
    <x v="3"/>
    <n v="24159"/>
    <n v="6522.93"/>
    <n v="17636.07"/>
  </r>
  <r>
    <s v="ORD200056"/>
    <x v="54"/>
    <s v="C54298"/>
    <x v="2"/>
    <n v="1"/>
    <n v="5899"/>
    <n v="0.37"/>
    <s v="566 Main St"/>
    <x v="4"/>
    <s v="TRK62902341"/>
    <x v="2"/>
    <n v="5"/>
    <x v="1"/>
    <n v="5899"/>
    <n v="2182.63"/>
    <n v="3716.37"/>
  </r>
  <r>
    <s v="ORD200057"/>
    <x v="55"/>
    <s v="C88036"/>
    <x v="4"/>
    <n v="3"/>
    <n v="5101"/>
    <n v="0.17"/>
    <s v="842 Main St"/>
    <x v="4"/>
    <s v="TRK52470128"/>
    <x v="2"/>
    <n v="6"/>
    <x v="0"/>
    <n v="15303"/>
    <n v="2601.5100000000002"/>
    <n v="12701.49"/>
  </r>
  <r>
    <s v="ORD200058"/>
    <x v="56"/>
    <s v="C60190"/>
    <x v="1"/>
    <n v="3"/>
    <n v="40513"/>
    <n v="0.37"/>
    <s v="202 Main St"/>
    <x v="3"/>
    <s v="TRK70857868"/>
    <x v="1"/>
    <n v="6"/>
    <x v="4"/>
    <n v="121539"/>
    <n v="44969.43"/>
    <n v="76569.570000000007"/>
  </r>
  <r>
    <s v="ORD200059"/>
    <x v="57"/>
    <s v="C97603"/>
    <x v="3"/>
    <n v="2"/>
    <n v="17071"/>
    <n v="0.02"/>
    <s v="811 Main St"/>
    <x v="1"/>
    <s v="TRK47055028"/>
    <x v="0"/>
    <n v="5"/>
    <x v="3"/>
    <n v="34142"/>
    <n v="682.84"/>
    <n v="33459.160000000003"/>
  </r>
  <r>
    <s v="ORD200060"/>
    <x v="58"/>
    <s v="C39256"/>
    <x v="6"/>
    <n v="1"/>
    <n v="8378"/>
    <n v="0.08"/>
    <s v="634 Main St"/>
    <x v="0"/>
    <s v="TRK23412025"/>
    <x v="1"/>
    <n v="3"/>
    <x v="1"/>
    <n v="8378"/>
    <n v="670.24"/>
    <n v="7707.76"/>
  </r>
  <r>
    <s v="ORD200061"/>
    <x v="59"/>
    <s v="C61618"/>
    <x v="6"/>
    <n v="1"/>
    <n v="8187"/>
    <n v="0.32"/>
    <s v="104 Main St"/>
    <x v="4"/>
    <s v="TRK43458485"/>
    <x v="1"/>
    <n v="7"/>
    <x v="3"/>
    <n v="8187"/>
    <n v="2619.84"/>
    <n v="5567.16"/>
  </r>
  <r>
    <s v="ORD200062"/>
    <x v="60"/>
    <s v="C36497"/>
    <x v="6"/>
    <n v="1"/>
    <n v="6973"/>
    <n v="0.22"/>
    <s v="691 Main St"/>
    <x v="0"/>
    <s v="TRK12102911"/>
    <x v="2"/>
    <n v="3"/>
    <x v="2"/>
    <n v="6973"/>
    <n v="1534.06"/>
    <n v="5438.9400000000005"/>
  </r>
  <r>
    <s v="ORD200063"/>
    <x v="61"/>
    <s v="C96695"/>
    <x v="3"/>
    <n v="2"/>
    <n v="17401"/>
    <n v="0.41"/>
    <s v="813 Main St"/>
    <x v="0"/>
    <s v="TRK64283851"/>
    <x v="0"/>
    <n v="6"/>
    <x v="1"/>
    <n v="34802"/>
    <n v="14268.82"/>
    <n v="20533.18"/>
  </r>
  <r>
    <s v="ORD200064"/>
    <x v="62"/>
    <s v="C49720"/>
    <x v="4"/>
    <n v="1"/>
    <n v="5234"/>
    <n v="0.17"/>
    <s v="752 Main St"/>
    <x v="0"/>
    <s v="TRK55785217"/>
    <x v="2"/>
    <n v="4"/>
    <x v="3"/>
    <n v="5234"/>
    <n v="889.78000000000009"/>
    <n v="4344.22"/>
  </r>
  <r>
    <s v="ORD200065"/>
    <x v="63"/>
    <s v="C97735"/>
    <x v="0"/>
    <n v="3"/>
    <n v="9187"/>
    <n v="0.38"/>
    <s v="385 Main St"/>
    <x v="2"/>
    <s v="TRK13743703"/>
    <x v="1"/>
    <n v="6"/>
    <x v="0"/>
    <n v="27561"/>
    <n v="10473.18"/>
    <n v="17087.82"/>
  </r>
  <r>
    <s v="ORD200066"/>
    <x v="64"/>
    <s v="C18104"/>
    <x v="3"/>
    <n v="1"/>
    <n v="23963"/>
    <n v="7.0000000000000007E-2"/>
    <s v="715 Main St"/>
    <x v="4"/>
    <s v="TRK15488568"/>
    <x v="2"/>
    <n v="9"/>
    <x v="1"/>
    <n v="23963"/>
    <n v="1677.41"/>
    <n v="22285.59"/>
  </r>
  <r>
    <s v="ORD200067"/>
    <x v="65"/>
    <s v="C25587"/>
    <x v="4"/>
    <n v="3"/>
    <n v="8102"/>
    <n v="0.47"/>
    <s v="440 Main St"/>
    <x v="0"/>
    <s v="TRK55105323"/>
    <x v="0"/>
    <n v="8"/>
    <x v="4"/>
    <n v="24306"/>
    <n v="11423.82"/>
    <n v="12882.18"/>
  </r>
  <r>
    <s v="ORD200068"/>
    <x v="66"/>
    <s v="C41598"/>
    <x v="3"/>
    <n v="1"/>
    <n v="22818"/>
    <n v="0.21"/>
    <s v="709 Main St"/>
    <x v="2"/>
    <s v="TRK81665940"/>
    <x v="2"/>
    <n v="5"/>
    <x v="2"/>
    <n v="22818"/>
    <n v="4791.78"/>
    <n v="18026.22"/>
  </r>
  <r>
    <s v="ORD200069"/>
    <x v="67"/>
    <s v="C43338"/>
    <x v="0"/>
    <n v="1"/>
    <n v="4558"/>
    <n v="0.12"/>
    <s v="552 Main St"/>
    <x v="1"/>
    <s v="TRK35241775"/>
    <x v="0"/>
    <n v="4"/>
    <x v="1"/>
    <n v="4558"/>
    <n v="546.96"/>
    <n v="4011.04"/>
  </r>
  <r>
    <s v="ORD200070"/>
    <x v="68"/>
    <s v="C25123"/>
    <x v="6"/>
    <n v="1"/>
    <n v="6093"/>
    <n v="0.39"/>
    <s v="384 Main St"/>
    <x v="3"/>
    <s v="TRK27812282"/>
    <x v="2"/>
    <n v="2"/>
    <x v="0"/>
    <n v="6093"/>
    <n v="2376.27"/>
    <n v="3716.73"/>
  </r>
  <r>
    <s v="ORD200071"/>
    <x v="69"/>
    <s v="C37454"/>
    <x v="0"/>
    <n v="3"/>
    <n v="8587"/>
    <n v="0.47"/>
    <s v="923 Main St"/>
    <x v="2"/>
    <s v="TRK28252730"/>
    <x v="2"/>
    <n v="4"/>
    <x v="1"/>
    <n v="25761"/>
    <n v="12107.67"/>
    <n v="13653.33"/>
  </r>
  <r>
    <s v="ORD200072"/>
    <x v="70"/>
    <s v="C19451"/>
    <x v="2"/>
    <n v="3"/>
    <n v="3180"/>
    <n v="0.46"/>
    <s v="942 Main St"/>
    <x v="3"/>
    <s v="TRK87787793"/>
    <x v="0"/>
    <n v="5"/>
    <x v="3"/>
    <n v="9540"/>
    <n v="4388.4000000000005"/>
    <n v="5151.5999999999995"/>
  </r>
  <r>
    <s v="ORD200073"/>
    <x v="71"/>
    <s v="C17269"/>
    <x v="0"/>
    <n v="1"/>
    <n v="4836"/>
    <n v="0.12"/>
    <s v="129 Main St"/>
    <x v="3"/>
    <s v="TRK79608389"/>
    <x v="0"/>
    <n v="4"/>
    <x v="3"/>
    <n v="4836"/>
    <n v="580.31999999999994"/>
    <n v="4255.68"/>
  </r>
  <r>
    <s v="ORD200074"/>
    <x v="72"/>
    <s v="C25382"/>
    <x v="1"/>
    <n v="1"/>
    <n v="28768"/>
    <n v="0.34"/>
    <s v="622 Main St"/>
    <x v="4"/>
    <s v="TRK64691287"/>
    <x v="2"/>
    <n v="5"/>
    <x v="0"/>
    <n v="28768"/>
    <n v="9781.1200000000008"/>
    <n v="18986.879999999997"/>
  </r>
  <r>
    <s v="ORD200075"/>
    <x v="73"/>
    <s v="C80651"/>
    <x v="2"/>
    <n v="3"/>
    <n v="13533"/>
    <n v="0.27"/>
    <s v="917 Main St"/>
    <x v="0"/>
    <s v="TRK14846720"/>
    <x v="1"/>
    <n v="5"/>
    <x v="2"/>
    <n v="40599"/>
    <n v="10961.730000000001"/>
    <n v="29637.269999999997"/>
  </r>
  <r>
    <s v="ORD200076"/>
    <x v="74"/>
    <s v="C58638"/>
    <x v="5"/>
    <n v="1"/>
    <n v="25270"/>
    <n v="0.36"/>
    <s v="239 Main St"/>
    <x v="4"/>
    <s v="TRK38224871"/>
    <x v="0"/>
    <n v="6"/>
    <x v="2"/>
    <n v="25270"/>
    <n v="9097.1999999999989"/>
    <n v="16172.800000000001"/>
  </r>
  <r>
    <s v="ORD200077"/>
    <x v="75"/>
    <s v="C50121"/>
    <x v="1"/>
    <n v="2"/>
    <n v="19684"/>
    <n v="0.24"/>
    <s v="348 Main St"/>
    <x v="2"/>
    <s v="TRK79810059"/>
    <x v="1"/>
    <n v="5"/>
    <x v="4"/>
    <n v="39368"/>
    <n v="9448.32"/>
    <n v="29919.68"/>
  </r>
  <r>
    <s v="ORD200078"/>
    <x v="76"/>
    <s v="C32029"/>
    <x v="4"/>
    <n v="2"/>
    <n v="5340"/>
    <n v="0.23"/>
    <s v="146 Main St"/>
    <x v="0"/>
    <s v="TRK68535532"/>
    <x v="1"/>
    <n v="4"/>
    <x v="0"/>
    <n v="10680"/>
    <n v="2456.4"/>
    <n v="8223.6"/>
  </r>
  <r>
    <s v="ORD200079"/>
    <x v="77"/>
    <s v="C76700"/>
    <x v="2"/>
    <n v="3"/>
    <n v="14068"/>
    <n v="0.44"/>
    <s v="103 Main St"/>
    <x v="1"/>
    <s v="TRK13036341"/>
    <x v="0"/>
    <n v="2"/>
    <x v="3"/>
    <n v="42204"/>
    <n v="18569.759999999998"/>
    <n v="23634.240000000002"/>
  </r>
  <r>
    <s v="ORD200080"/>
    <x v="78"/>
    <s v="C29041"/>
    <x v="1"/>
    <n v="1"/>
    <n v="34624"/>
    <n v="0.44"/>
    <s v="591 Main St"/>
    <x v="1"/>
    <s v="TRK28840655"/>
    <x v="0"/>
    <n v="6"/>
    <x v="3"/>
    <n v="34624"/>
    <n v="15234.56"/>
    <n v="19389.440000000002"/>
  </r>
  <r>
    <s v="ORD200081"/>
    <x v="79"/>
    <s v="C29314"/>
    <x v="0"/>
    <n v="2"/>
    <n v="4199"/>
    <n v="0.39"/>
    <s v="496 Main St"/>
    <x v="4"/>
    <s v="TRK59876213"/>
    <x v="0"/>
    <n v="6"/>
    <x v="2"/>
    <n v="8398"/>
    <n v="3275.2200000000003"/>
    <n v="5122.78"/>
  </r>
  <r>
    <s v="ORD200082"/>
    <x v="80"/>
    <s v="C65799"/>
    <x v="2"/>
    <n v="1"/>
    <n v="9802"/>
    <n v="0.35"/>
    <s v="971 Main St"/>
    <x v="0"/>
    <s v="TRK66906607"/>
    <x v="0"/>
    <n v="9"/>
    <x v="4"/>
    <n v="9802"/>
    <n v="3430.7"/>
    <n v="6371.3"/>
  </r>
  <r>
    <s v="ORD200083"/>
    <x v="60"/>
    <s v="C15681"/>
    <x v="5"/>
    <n v="3"/>
    <n v="63638"/>
    <n v="0.34"/>
    <s v="989 Main St"/>
    <x v="2"/>
    <s v="TRK75112172"/>
    <x v="1"/>
    <n v="6"/>
    <x v="1"/>
    <n v="190914"/>
    <n v="64910.76"/>
    <n v="126003.23999999999"/>
  </r>
  <r>
    <s v="ORD200084"/>
    <x v="81"/>
    <s v="C64160"/>
    <x v="0"/>
    <n v="3"/>
    <n v="2850"/>
    <n v="0.03"/>
    <s v="967 Main St"/>
    <x v="1"/>
    <s v="TRK34121529"/>
    <x v="0"/>
    <n v="4"/>
    <x v="0"/>
    <n v="8550"/>
    <n v="256.5"/>
    <n v="8293.5"/>
  </r>
  <r>
    <s v="ORD200085"/>
    <x v="82"/>
    <s v="C14553"/>
    <x v="2"/>
    <n v="1"/>
    <n v="13006"/>
    <n v="0.37"/>
    <s v="768 Main St"/>
    <x v="4"/>
    <s v="TRK93538334"/>
    <x v="1"/>
    <n v="8"/>
    <x v="2"/>
    <n v="13006"/>
    <n v="4812.22"/>
    <n v="8193.7799999999988"/>
  </r>
  <r>
    <s v="ORD200086"/>
    <x v="83"/>
    <s v="C88205"/>
    <x v="4"/>
    <n v="2"/>
    <n v="8692"/>
    <n v="0.32"/>
    <s v="447 Main St"/>
    <x v="1"/>
    <s v="TRK93504166"/>
    <x v="0"/>
    <n v="5"/>
    <x v="1"/>
    <n v="17384"/>
    <n v="5562.88"/>
    <n v="11821.119999999999"/>
  </r>
  <r>
    <s v="ORD200087"/>
    <x v="84"/>
    <s v="C91245"/>
    <x v="2"/>
    <n v="1"/>
    <n v="13345"/>
    <n v="0.15"/>
    <s v="915 Main St"/>
    <x v="4"/>
    <s v="TRK46976391"/>
    <x v="0"/>
    <n v="4"/>
    <x v="3"/>
    <n v="13345"/>
    <n v="2001.75"/>
    <n v="11343.25"/>
  </r>
  <r>
    <s v="ORD200088"/>
    <x v="85"/>
    <s v="C75439"/>
    <x v="6"/>
    <n v="1"/>
    <n v="4965"/>
    <n v="0.41"/>
    <s v="318 Main St"/>
    <x v="3"/>
    <s v="TRK19831653"/>
    <x v="0"/>
    <n v="7"/>
    <x v="4"/>
    <n v="4965"/>
    <n v="2035.6499999999999"/>
    <n v="2929.3500000000004"/>
  </r>
  <r>
    <s v="ORD200089"/>
    <x v="86"/>
    <s v="C17181"/>
    <x v="4"/>
    <n v="1"/>
    <n v="8336"/>
    <n v="0.42"/>
    <s v="291 Main St"/>
    <x v="2"/>
    <s v="TRK78912978"/>
    <x v="2"/>
    <n v="8"/>
    <x v="4"/>
    <n v="8336"/>
    <n v="3501.12"/>
    <n v="4834.88"/>
  </r>
  <r>
    <s v="ORD200090"/>
    <x v="87"/>
    <s v="C36540"/>
    <x v="3"/>
    <n v="3"/>
    <n v="36600"/>
    <n v="0.47"/>
    <s v="611 Main St"/>
    <x v="3"/>
    <s v="TRK35828122"/>
    <x v="1"/>
    <n v="4"/>
    <x v="2"/>
    <n v="109800"/>
    <n v="51606"/>
    <n v="58194"/>
  </r>
  <r>
    <s v="ORD200091"/>
    <x v="88"/>
    <s v="C98216"/>
    <x v="5"/>
    <n v="1"/>
    <n v="25952"/>
    <n v="0.21"/>
    <s v="196 Main St"/>
    <x v="4"/>
    <s v="TRK40986666"/>
    <x v="0"/>
    <n v="6"/>
    <x v="1"/>
    <n v="25952"/>
    <n v="5449.92"/>
    <n v="20502.080000000002"/>
  </r>
  <r>
    <s v="ORD200092"/>
    <x v="89"/>
    <s v="C29568"/>
    <x v="4"/>
    <n v="3"/>
    <n v="6714"/>
    <n v="0.28000000000000003"/>
    <s v="203 Main St"/>
    <x v="1"/>
    <s v="TRK46531075"/>
    <x v="0"/>
    <n v="7"/>
    <x v="3"/>
    <n v="20142"/>
    <n v="5639.76"/>
    <n v="14502.24"/>
  </r>
  <r>
    <s v="ORD200093"/>
    <x v="90"/>
    <s v="C97262"/>
    <x v="6"/>
    <n v="3"/>
    <n v="2612"/>
    <n v="0.45"/>
    <s v="837 Main St"/>
    <x v="2"/>
    <s v="TRK65990229"/>
    <x v="0"/>
    <n v="7"/>
    <x v="1"/>
    <n v="7836"/>
    <n v="3526.2000000000003"/>
    <n v="4309.7999999999993"/>
  </r>
  <r>
    <s v="ORD200094"/>
    <x v="91"/>
    <s v="C79821"/>
    <x v="3"/>
    <n v="3"/>
    <n v="32587"/>
    <n v="0.16"/>
    <s v="781 Main St"/>
    <x v="3"/>
    <s v="TRK12780193"/>
    <x v="0"/>
    <n v="6"/>
    <x v="0"/>
    <n v="97761"/>
    <n v="15641.76"/>
    <n v="82119.240000000005"/>
  </r>
  <r>
    <s v="ORD200095"/>
    <x v="92"/>
    <s v="C76761"/>
    <x v="4"/>
    <n v="3"/>
    <n v="6080"/>
    <n v="0.4"/>
    <s v="839 Main St"/>
    <x v="0"/>
    <s v="TRK60179774"/>
    <x v="0"/>
    <n v="7"/>
    <x v="1"/>
    <n v="18240"/>
    <n v="7296"/>
    <n v="10944"/>
  </r>
  <r>
    <s v="ORD200096"/>
    <x v="93"/>
    <s v="C93007"/>
    <x v="1"/>
    <n v="3"/>
    <n v="18508"/>
    <n v="0.5"/>
    <s v="103 Main St"/>
    <x v="3"/>
    <s v="TRK85696091"/>
    <x v="1"/>
    <n v="7"/>
    <x v="0"/>
    <n v="55524"/>
    <n v="27762"/>
    <n v="27762"/>
  </r>
  <r>
    <s v="ORD200097"/>
    <x v="94"/>
    <s v="C15624"/>
    <x v="2"/>
    <n v="3"/>
    <n v="13260"/>
    <n v="0.33"/>
    <s v="922 Main St"/>
    <x v="0"/>
    <s v="TRK40621141"/>
    <x v="2"/>
    <n v="9"/>
    <x v="2"/>
    <n v="39780"/>
    <n v="13127.400000000001"/>
    <n v="26652.6"/>
  </r>
  <r>
    <s v="ORD200098"/>
    <x v="90"/>
    <s v="C70921"/>
    <x v="4"/>
    <n v="2"/>
    <n v="5529"/>
    <n v="0.49"/>
    <s v="533 Main St"/>
    <x v="0"/>
    <s v="TRK54983109"/>
    <x v="2"/>
    <n v="3"/>
    <x v="2"/>
    <n v="11058"/>
    <n v="5418.42"/>
    <n v="5639.58"/>
  </r>
  <r>
    <s v="ORD200099"/>
    <x v="95"/>
    <s v="C30477"/>
    <x v="4"/>
    <n v="3"/>
    <n v="6222"/>
    <n v="0.26"/>
    <s v="717 Main St"/>
    <x v="0"/>
    <s v="TRK51829648"/>
    <x v="0"/>
    <n v="2"/>
    <x v="2"/>
    <n v="18666"/>
    <n v="4853.16"/>
    <n v="13812.84"/>
  </r>
  <r>
    <s v="ORD200100"/>
    <x v="96"/>
    <s v="C74866"/>
    <x v="1"/>
    <n v="1"/>
    <n v="26275"/>
    <n v="0.08"/>
    <s v="743 Main St"/>
    <x v="1"/>
    <s v="TRK53783265"/>
    <x v="1"/>
    <n v="6"/>
    <x v="3"/>
    <n v="26275"/>
    <n v="2102"/>
    <n v="24173"/>
  </r>
  <r>
    <s v="ORD200101"/>
    <x v="97"/>
    <s v="C15283"/>
    <x v="4"/>
    <n v="1"/>
    <n v="8619"/>
    <n v="0.09"/>
    <s v="152 Main St"/>
    <x v="4"/>
    <s v="TRK19286291"/>
    <x v="0"/>
    <n v="6"/>
    <x v="4"/>
    <n v="8619"/>
    <n v="775.70999999999992"/>
    <n v="7843.29"/>
  </r>
  <r>
    <s v="ORD200102"/>
    <x v="98"/>
    <s v="C18037"/>
    <x v="5"/>
    <n v="3"/>
    <n v="62328"/>
    <n v="0.37"/>
    <s v="944 Main St"/>
    <x v="3"/>
    <s v="TRK47362236"/>
    <x v="2"/>
    <n v="3"/>
    <x v="2"/>
    <n v="186984"/>
    <n v="69184.08"/>
    <n v="117799.92"/>
  </r>
  <r>
    <s v="ORD200103"/>
    <x v="99"/>
    <s v="C62656"/>
    <x v="1"/>
    <n v="3"/>
    <n v="22529"/>
    <n v="0"/>
    <s v="514 Main St"/>
    <x v="2"/>
    <s v="TRK86296459"/>
    <x v="0"/>
    <n v="9"/>
    <x v="2"/>
    <n v="67587"/>
    <n v="0"/>
    <n v="67587"/>
  </r>
  <r>
    <s v="ORD200104"/>
    <x v="100"/>
    <s v="C65744"/>
    <x v="1"/>
    <n v="2"/>
    <n v="29857"/>
    <n v="0.33"/>
    <s v="647 Main St"/>
    <x v="3"/>
    <s v="TRK39906058"/>
    <x v="1"/>
    <n v="1"/>
    <x v="2"/>
    <n v="59714"/>
    <n v="19705.620000000003"/>
    <n v="40008.379999999997"/>
  </r>
  <r>
    <s v="ORD200105"/>
    <x v="101"/>
    <s v="C72290"/>
    <x v="4"/>
    <n v="2"/>
    <n v="9673"/>
    <n v="0.08"/>
    <s v="810 Main St"/>
    <x v="3"/>
    <s v="TRK68792129"/>
    <x v="2"/>
    <n v="7"/>
    <x v="3"/>
    <n v="19346"/>
    <n v="1547.68"/>
    <n v="17798.32"/>
  </r>
  <r>
    <s v="ORD200106"/>
    <x v="102"/>
    <s v="C73514"/>
    <x v="6"/>
    <n v="2"/>
    <n v="3335"/>
    <n v="0.49"/>
    <s v="126 Main St"/>
    <x v="2"/>
    <s v="TRK96777924"/>
    <x v="1"/>
    <n v="3"/>
    <x v="2"/>
    <n v="6670"/>
    <n v="3268.2999999999997"/>
    <n v="3401.7000000000003"/>
  </r>
  <r>
    <s v="ORD200107"/>
    <x v="14"/>
    <s v="C16775"/>
    <x v="4"/>
    <n v="1"/>
    <n v="8437"/>
    <n v="0.08"/>
    <s v="848 Main St"/>
    <x v="3"/>
    <s v="TRK34392124"/>
    <x v="0"/>
    <n v="8"/>
    <x v="0"/>
    <n v="8437"/>
    <n v="674.96"/>
    <n v="7762.04"/>
  </r>
  <r>
    <s v="ORD200108"/>
    <x v="103"/>
    <s v="C33099"/>
    <x v="5"/>
    <n v="2"/>
    <n v="51425"/>
    <n v="0.28000000000000003"/>
    <s v="522 Main St"/>
    <x v="3"/>
    <s v="TRK28522330"/>
    <x v="1"/>
    <n v="9"/>
    <x v="2"/>
    <n v="102850"/>
    <n v="28798.000000000004"/>
    <n v="74052"/>
  </r>
  <r>
    <s v="ORD200109"/>
    <x v="104"/>
    <s v="C51157"/>
    <x v="6"/>
    <n v="2"/>
    <n v="1151"/>
    <n v="0.33"/>
    <s v="131 Main St"/>
    <x v="3"/>
    <s v="TRK18674578"/>
    <x v="0"/>
    <n v="3"/>
    <x v="1"/>
    <n v="2302"/>
    <n v="759.66000000000008"/>
    <n v="1542.34"/>
  </r>
  <r>
    <s v="ORD200110"/>
    <x v="105"/>
    <s v="C74562"/>
    <x v="2"/>
    <n v="2"/>
    <n v="4710"/>
    <n v="0.41"/>
    <s v="388 Main St"/>
    <x v="3"/>
    <s v="TRK32062079"/>
    <x v="2"/>
    <n v="5"/>
    <x v="0"/>
    <n v="9420"/>
    <n v="3862.2"/>
    <n v="5557.8"/>
  </r>
  <r>
    <s v="ORD200111"/>
    <x v="106"/>
    <s v="C95271"/>
    <x v="6"/>
    <n v="2"/>
    <n v="3682"/>
    <n v="0.23"/>
    <s v="620 Main St"/>
    <x v="1"/>
    <s v="TRK74904969"/>
    <x v="0"/>
    <n v="7"/>
    <x v="4"/>
    <n v="7364"/>
    <n v="1693.72"/>
    <n v="5670.28"/>
  </r>
  <r>
    <s v="ORD200112"/>
    <x v="107"/>
    <s v="C81366"/>
    <x v="0"/>
    <n v="2"/>
    <n v="7153"/>
    <n v="0.47"/>
    <s v="423 Main St"/>
    <x v="1"/>
    <s v="TRK17062206"/>
    <x v="1"/>
    <n v="2"/>
    <x v="1"/>
    <n v="14306"/>
    <n v="6723.82"/>
    <n v="7582.18"/>
  </r>
  <r>
    <s v="ORD200113"/>
    <x v="108"/>
    <s v="C65905"/>
    <x v="5"/>
    <n v="2"/>
    <n v="67016"/>
    <n v="0.24"/>
    <s v="605 Main St"/>
    <x v="4"/>
    <s v="TRK73954365"/>
    <x v="0"/>
    <n v="9"/>
    <x v="0"/>
    <n v="134032"/>
    <n v="32167.68"/>
    <n v="101864.32000000001"/>
  </r>
  <r>
    <s v="ORD200114"/>
    <x v="109"/>
    <s v="C77272"/>
    <x v="0"/>
    <n v="2"/>
    <n v="9631"/>
    <n v="0.13"/>
    <s v="115 Main St"/>
    <x v="1"/>
    <s v="TRK29708128"/>
    <x v="2"/>
    <n v="8"/>
    <x v="4"/>
    <n v="19262"/>
    <n v="2504.06"/>
    <n v="16757.939999999999"/>
  </r>
  <r>
    <s v="ORD200115"/>
    <x v="110"/>
    <s v="C32580"/>
    <x v="1"/>
    <n v="2"/>
    <n v="30224"/>
    <n v="0.3"/>
    <s v="122 Main St"/>
    <x v="1"/>
    <s v="TRK23670394"/>
    <x v="0"/>
    <n v="9"/>
    <x v="3"/>
    <n v="60448"/>
    <n v="18134.399999999998"/>
    <n v="42313.600000000006"/>
  </r>
  <r>
    <s v="ORD200116"/>
    <x v="111"/>
    <s v="C47761"/>
    <x v="4"/>
    <n v="3"/>
    <n v="6835"/>
    <n v="0.33"/>
    <s v="109 Main St"/>
    <x v="2"/>
    <s v="TRK66669207"/>
    <x v="2"/>
    <n v="6"/>
    <x v="3"/>
    <n v="20505"/>
    <n v="6766.6500000000005"/>
    <n v="13738.349999999999"/>
  </r>
  <r>
    <s v="ORD200117"/>
    <x v="98"/>
    <s v="C49187"/>
    <x v="2"/>
    <n v="1"/>
    <n v="8952"/>
    <n v="0.25"/>
    <s v="593 Main St"/>
    <x v="3"/>
    <s v="TRK81888598"/>
    <x v="2"/>
    <n v="5"/>
    <x v="1"/>
    <n v="8952"/>
    <n v="2238"/>
    <n v="6714"/>
  </r>
  <r>
    <s v="ORD200118"/>
    <x v="112"/>
    <s v="C27898"/>
    <x v="4"/>
    <n v="2"/>
    <n v="6070"/>
    <n v="0.37"/>
    <s v="807 Main St"/>
    <x v="3"/>
    <s v="TRK61957665"/>
    <x v="0"/>
    <n v="7"/>
    <x v="4"/>
    <n v="12140"/>
    <n v="4491.8"/>
    <n v="7648.2"/>
  </r>
  <r>
    <s v="ORD200119"/>
    <x v="113"/>
    <s v="C14683"/>
    <x v="6"/>
    <n v="1"/>
    <n v="4048"/>
    <n v="0.21"/>
    <s v="187 Main St"/>
    <x v="0"/>
    <s v="TRK47373682"/>
    <x v="0"/>
    <n v="7"/>
    <x v="1"/>
    <n v="4048"/>
    <n v="850.07999999999993"/>
    <n v="3197.92"/>
  </r>
  <r>
    <s v="ORD200120"/>
    <x v="114"/>
    <s v="C58108"/>
    <x v="2"/>
    <n v="3"/>
    <n v="1080"/>
    <n v="0"/>
    <s v="986 Main St"/>
    <x v="4"/>
    <s v="TRK66218053"/>
    <x v="0"/>
    <n v="4"/>
    <x v="0"/>
    <n v="3240"/>
    <n v="0"/>
    <n v="3240"/>
  </r>
  <r>
    <s v="ORD200121"/>
    <x v="115"/>
    <s v="C89822"/>
    <x v="6"/>
    <n v="1"/>
    <n v="9312"/>
    <n v="0.13"/>
    <s v="673 Main St"/>
    <x v="4"/>
    <s v="TRK24138598"/>
    <x v="0"/>
    <n v="1"/>
    <x v="0"/>
    <n v="9312"/>
    <n v="1210.56"/>
    <n v="8101.4400000000005"/>
  </r>
  <r>
    <s v="ORD200122"/>
    <x v="116"/>
    <s v="C96787"/>
    <x v="5"/>
    <n v="1"/>
    <n v="63556"/>
    <n v="0.47"/>
    <s v="588 Main St"/>
    <x v="3"/>
    <s v="TRK30422853"/>
    <x v="0"/>
    <n v="2"/>
    <x v="3"/>
    <n v="63556"/>
    <n v="29871.32"/>
    <n v="33684.68"/>
  </r>
  <r>
    <s v="ORD200123"/>
    <x v="117"/>
    <s v="C86064"/>
    <x v="6"/>
    <n v="1"/>
    <n v="9368"/>
    <n v="0.38"/>
    <s v="727 Main St"/>
    <x v="1"/>
    <s v="TRK62182901"/>
    <x v="1"/>
    <n v="5"/>
    <x v="0"/>
    <n v="9368"/>
    <n v="3559.84"/>
    <n v="5808.16"/>
  </r>
  <r>
    <s v="ORD200124"/>
    <x v="118"/>
    <s v="C97148"/>
    <x v="4"/>
    <n v="1"/>
    <n v="6666"/>
    <n v="0.09"/>
    <s v="563 Main St"/>
    <x v="1"/>
    <s v="TRK85321126"/>
    <x v="2"/>
    <n v="8"/>
    <x v="4"/>
    <n v="6666"/>
    <n v="599.93999999999994"/>
    <n v="6066.06"/>
  </r>
  <r>
    <s v="ORD200125"/>
    <x v="119"/>
    <s v="C91099"/>
    <x v="1"/>
    <n v="3"/>
    <n v="25735"/>
    <n v="0.03"/>
    <s v="758 Main St"/>
    <x v="2"/>
    <s v="TRK81846174"/>
    <x v="0"/>
    <n v="5"/>
    <x v="2"/>
    <n v="77205"/>
    <n v="2316.15"/>
    <n v="74888.850000000006"/>
  </r>
  <r>
    <s v="ORD200126"/>
    <x v="120"/>
    <s v="C55606"/>
    <x v="6"/>
    <n v="3"/>
    <n v="4668"/>
    <n v="0.18"/>
    <s v="353 Main St"/>
    <x v="3"/>
    <s v="TRK68250319"/>
    <x v="0"/>
    <n v="8"/>
    <x v="4"/>
    <n v="14004"/>
    <n v="2520.7199999999998"/>
    <n v="11483.28"/>
  </r>
  <r>
    <s v="ORD200127"/>
    <x v="121"/>
    <s v="C71486"/>
    <x v="6"/>
    <n v="3"/>
    <n v="4825"/>
    <n v="0.42"/>
    <s v="365 Main St"/>
    <x v="0"/>
    <s v="TRK73929833"/>
    <x v="0"/>
    <n v="3"/>
    <x v="4"/>
    <n v="14475"/>
    <n v="6079.5"/>
    <n v="8395.5"/>
  </r>
  <r>
    <s v="ORD200128"/>
    <x v="96"/>
    <s v="C86408"/>
    <x v="2"/>
    <n v="2"/>
    <n v="7044"/>
    <n v="0.05"/>
    <s v="244 Main St"/>
    <x v="3"/>
    <s v="TRK41432648"/>
    <x v="1"/>
    <n v="4"/>
    <x v="4"/>
    <n v="14088"/>
    <n v="704.40000000000009"/>
    <n v="13383.6"/>
  </r>
  <r>
    <s v="ORD200129"/>
    <x v="122"/>
    <s v="C52751"/>
    <x v="5"/>
    <n v="2"/>
    <n v="46957"/>
    <n v="0.27"/>
    <s v="427 Main St"/>
    <x v="0"/>
    <s v="TRK72481234"/>
    <x v="0"/>
    <n v="4"/>
    <x v="3"/>
    <n v="93914"/>
    <n v="25356.780000000002"/>
    <n v="68557.22"/>
  </r>
  <r>
    <s v="ORD200130"/>
    <x v="123"/>
    <s v="C29059"/>
    <x v="6"/>
    <n v="1"/>
    <n v="4516"/>
    <n v="0.14000000000000001"/>
    <s v="513 Main St"/>
    <x v="1"/>
    <s v="TRK88360704"/>
    <x v="0"/>
    <n v="3"/>
    <x v="3"/>
    <n v="4516"/>
    <n v="632.24"/>
    <n v="3883.76"/>
  </r>
  <r>
    <s v="ORD200131"/>
    <x v="124"/>
    <s v="C72862"/>
    <x v="2"/>
    <n v="3"/>
    <n v="1592"/>
    <n v="0.36"/>
    <s v="606 Main St"/>
    <x v="3"/>
    <s v="TRK51648833"/>
    <x v="2"/>
    <n v="5"/>
    <x v="0"/>
    <n v="4776"/>
    <n v="1719.36"/>
    <n v="3056.6400000000003"/>
  </r>
  <r>
    <s v="ORD200132"/>
    <x v="125"/>
    <s v="C96257"/>
    <x v="2"/>
    <n v="2"/>
    <n v="1525"/>
    <n v="0"/>
    <s v="583 Main St"/>
    <x v="2"/>
    <s v="TRK13137948"/>
    <x v="0"/>
    <n v="6"/>
    <x v="2"/>
    <n v="3050"/>
    <n v="0"/>
    <n v="3050"/>
  </r>
  <r>
    <s v="ORD200133"/>
    <x v="126"/>
    <s v="C87432"/>
    <x v="3"/>
    <n v="1"/>
    <n v="33126"/>
    <n v="0.14000000000000001"/>
    <s v="636 Main St"/>
    <x v="0"/>
    <s v="TRK68969625"/>
    <x v="0"/>
    <n v="6"/>
    <x v="4"/>
    <n v="33126"/>
    <n v="4637.6400000000003"/>
    <n v="28488.36"/>
  </r>
  <r>
    <s v="ORD200134"/>
    <x v="127"/>
    <s v="C16253"/>
    <x v="5"/>
    <n v="3"/>
    <n v="70018"/>
    <n v="0.34"/>
    <s v="583 Main St"/>
    <x v="4"/>
    <s v="TRK17354894"/>
    <x v="2"/>
    <n v="4"/>
    <x v="2"/>
    <n v="210054"/>
    <n v="71418.36"/>
    <n v="138635.64000000001"/>
  </r>
  <r>
    <s v="ORD200135"/>
    <x v="128"/>
    <s v="C79909"/>
    <x v="4"/>
    <n v="3"/>
    <n v="8938"/>
    <n v="0.27"/>
    <s v="642 Main St"/>
    <x v="3"/>
    <s v="TRK86742257"/>
    <x v="0"/>
    <n v="5"/>
    <x v="1"/>
    <n v="26814"/>
    <n v="7239.7800000000007"/>
    <n v="19574.22"/>
  </r>
  <r>
    <s v="ORD200136"/>
    <x v="129"/>
    <s v="C73370"/>
    <x v="5"/>
    <n v="3"/>
    <n v="32081"/>
    <n v="0.39"/>
    <s v="595 Main St"/>
    <x v="3"/>
    <s v="TRK67820278"/>
    <x v="1"/>
    <n v="1"/>
    <x v="0"/>
    <n v="96243"/>
    <n v="37534.770000000004"/>
    <n v="58708.229999999996"/>
  </r>
  <r>
    <s v="ORD200137"/>
    <x v="130"/>
    <s v="C50682"/>
    <x v="0"/>
    <n v="1"/>
    <n v="5386"/>
    <n v="0.08"/>
    <s v="598 Main St"/>
    <x v="2"/>
    <s v="TRK12242337"/>
    <x v="1"/>
    <n v="5"/>
    <x v="4"/>
    <n v="5386"/>
    <n v="430.88"/>
    <n v="4955.12"/>
  </r>
  <r>
    <s v="ORD200138"/>
    <x v="131"/>
    <s v="C21905"/>
    <x v="2"/>
    <n v="2"/>
    <n v="10665"/>
    <n v="0.27"/>
    <s v="478 Main St"/>
    <x v="0"/>
    <s v="TRK31863841"/>
    <x v="2"/>
    <n v="3"/>
    <x v="4"/>
    <n v="21330"/>
    <n v="5759.1"/>
    <n v="15570.9"/>
  </r>
  <r>
    <s v="ORD200139"/>
    <x v="132"/>
    <s v="C61440"/>
    <x v="1"/>
    <n v="2"/>
    <n v="30982"/>
    <n v="0.1"/>
    <s v="714 Main St"/>
    <x v="4"/>
    <s v="TRK33114521"/>
    <x v="1"/>
    <n v="1"/>
    <x v="2"/>
    <n v="61964"/>
    <n v="6196.4000000000005"/>
    <n v="55767.6"/>
  </r>
  <r>
    <s v="ORD200140"/>
    <x v="133"/>
    <s v="C33110"/>
    <x v="3"/>
    <n v="2"/>
    <n v="24557"/>
    <n v="0.32"/>
    <s v="388 Main St"/>
    <x v="1"/>
    <s v="TRK38624225"/>
    <x v="1"/>
    <n v="3"/>
    <x v="2"/>
    <n v="49114"/>
    <n v="15716.48"/>
    <n v="33397.520000000004"/>
  </r>
  <r>
    <s v="ORD200141"/>
    <x v="134"/>
    <s v="C80004"/>
    <x v="4"/>
    <n v="2"/>
    <n v="9169"/>
    <n v="7.0000000000000007E-2"/>
    <s v="151 Main St"/>
    <x v="4"/>
    <s v="TRK66230753"/>
    <x v="2"/>
    <n v="3"/>
    <x v="0"/>
    <n v="18338"/>
    <n v="1283.6600000000001"/>
    <n v="17054.34"/>
  </r>
  <r>
    <s v="ORD200142"/>
    <x v="135"/>
    <s v="C86374"/>
    <x v="6"/>
    <n v="1"/>
    <n v="9436"/>
    <n v="7.0000000000000007E-2"/>
    <s v="573 Main St"/>
    <x v="4"/>
    <s v="TRK79451491"/>
    <x v="2"/>
    <n v="7"/>
    <x v="2"/>
    <n v="9436"/>
    <n v="660.5200000000001"/>
    <n v="8775.48"/>
  </r>
  <r>
    <s v="ORD200143"/>
    <x v="136"/>
    <s v="C66521"/>
    <x v="3"/>
    <n v="1"/>
    <n v="22438"/>
    <n v="0.16"/>
    <s v="933 Main St"/>
    <x v="1"/>
    <s v="TRK34654244"/>
    <x v="0"/>
    <n v="5"/>
    <x v="1"/>
    <n v="22438"/>
    <n v="3590.08"/>
    <n v="18847.919999999998"/>
  </r>
  <r>
    <s v="ORD200144"/>
    <x v="128"/>
    <s v="C63365"/>
    <x v="6"/>
    <n v="2"/>
    <n v="8094"/>
    <n v="0.2"/>
    <s v="895 Main St"/>
    <x v="2"/>
    <s v="TRK80100887"/>
    <x v="2"/>
    <n v="8"/>
    <x v="3"/>
    <n v="16188"/>
    <n v="3237.6000000000004"/>
    <n v="12950.4"/>
  </r>
  <r>
    <s v="ORD200145"/>
    <x v="17"/>
    <s v="C85929"/>
    <x v="4"/>
    <n v="1"/>
    <n v="5496"/>
    <n v="0.25"/>
    <s v="798 Main St"/>
    <x v="2"/>
    <s v="TRK29318610"/>
    <x v="1"/>
    <n v="6"/>
    <x v="4"/>
    <n v="5496"/>
    <n v="1374"/>
    <n v="4122"/>
  </r>
  <r>
    <s v="ORD200146"/>
    <x v="137"/>
    <s v="C84645"/>
    <x v="2"/>
    <n v="3"/>
    <n v="11860"/>
    <n v="0.28999999999999998"/>
    <s v="404 Main St"/>
    <x v="2"/>
    <s v="TRK68893369"/>
    <x v="1"/>
    <n v="4"/>
    <x v="0"/>
    <n v="35580"/>
    <n v="10318.199999999999"/>
    <n v="25261.800000000003"/>
  </r>
  <r>
    <s v="ORD200147"/>
    <x v="138"/>
    <s v="C46316"/>
    <x v="5"/>
    <n v="2"/>
    <n v="49297"/>
    <n v="0.23"/>
    <s v="893 Main St"/>
    <x v="2"/>
    <s v="TRK16196000"/>
    <x v="0"/>
    <n v="2"/>
    <x v="4"/>
    <n v="98594"/>
    <n v="22676.620000000003"/>
    <n v="75917.38"/>
  </r>
  <r>
    <s v="ORD200148"/>
    <x v="139"/>
    <s v="C35100"/>
    <x v="1"/>
    <n v="1"/>
    <n v="22633"/>
    <n v="0.02"/>
    <s v="139 Main St"/>
    <x v="2"/>
    <s v="TRK56853491"/>
    <x v="1"/>
    <n v="3"/>
    <x v="4"/>
    <n v="22633"/>
    <n v="452.66"/>
    <n v="22180.34"/>
  </r>
  <r>
    <s v="ORD200149"/>
    <x v="140"/>
    <s v="C39671"/>
    <x v="5"/>
    <n v="2"/>
    <n v="46827"/>
    <n v="0.17"/>
    <s v="174 Main St"/>
    <x v="0"/>
    <s v="TRK47153818"/>
    <x v="1"/>
    <n v="3"/>
    <x v="3"/>
    <n v="93654"/>
    <n v="15921.18"/>
    <n v="77732.820000000007"/>
  </r>
  <r>
    <s v="ORD200150"/>
    <x v="141"/>
    <s v="C25503"/>
    <x v="1"/>
    <n v="2"/>
    <n v="44968"/>
    <n v="0.03"/>
    <s v="981 Main St"/>
    <x v="0"/>
    <s v="TRK29878837"/>
    <x v="1"/>
    <n v="5"/>
    <x v="4"/>
    <n v="89936"/>
    <n v="2698.08"/>
    <n v="87237.92"/>
  </r>
  <r>
    <s v="ORD200151"/>
    <x v="142"/>
    <s v="C32960"/>
    <x v="4"/>
    <n v="3"/>
    <n v="6345"/>
    <n v="0.06"/>
    <s v="947 Main St"/>
    <x v="0"/>
    <s v="TRK91226500"/>
    <x v="2"/>
    <n v="7"/>
    <x v="2"/>
    <n v="19035"/>
    <n v="1142.0999999999999"/>
    <n v="17892.900000000001"/>
  </r>
  <r>
    <s v="ORD200152"/>
    <x v="143"/>
    <s v="C77736"/>
    <x v="3"/>
    <n v="2"/>
    <n v="31819"/>
    <n v="0.05"/>
    <s v="659 Main St"/>
    <x v="4"/>
    <s v="TRK90329250"/>
    <x v="0"/>
    <n v="3"/>
    <x v="1"/>
    <n v="63638"/>
    <n v="3181.9"/>
    <n v="60456.1"/>
  </r>
  <r>
    <s v="ORD200153"/>
    <x v="144"/>
    <s v="C71570"/>
    <x v="3"/>
    <n v="1"/>
    <n v="37140"/>
    <n v="0.08"/>
    <s v="437 Main St"/>
    <x v="1"/>
    <s v="TRK95992269"/>
    <x v="2"/>
    <n v="9"/>
    <x v="0"/>
    <n v="37140"/>
    <n v="2971.2000000000003"/>
    <n v="34168.800000000003"/>
  </r>
  <r>
    <s v="ORD200154"/>
    <x v="145"/>
    <s v="C73587"/>
    <x v="1"/>
    <n v="2"/>
    <n v="29941"/>
    <n v="0.41"/>
    <s v="727 Main St"/>
    <x v="2"/>
    <s v="TRK13955543"/>
    <x v="2"/>
    <n v="9"/>
    <x v="0"/>
    <n v="59882"/>
    <n v="24551.62"/>
    <n v="35330.380000000005"/>
  </r>
  <r>
    <s v="ORD200155"/>
    <x v="146"/>
    <s v="C62740"/>
    <x v="1"/>
    <n v="2"/>
    <n v="36330"/>
    <n v="0.31"/>
    <s v="446 Main St"/>
    <x v="1"/>
    <s v="TRK20706408"/>
    <x v="0"/>
    <n v="6"/>
    <x v="1"/>
    <n v="72660"/>
    <n v="22524.6"/>
    <n v="50135.4"/>
  </r>
  <r>
    <s v="ORD200156"/>
    <x v="147"/>
    <s v="C58808"/>
    <x v="3"/>
    <n v="3"/>
    <n v="40799"/>
    <n v="0.25"/>
    <s v="651 Main St"/>
    <x v="1"/>
    <s v="TRK24451893"/>
    <x v="1"/>
    <n v="4"/>
    <x v="2"/>
    <n v="122397"/>
    <n v="30599.25"/>
    <n v="91797.75"/>
  </r>
  <r>
    <s v="ORD200157"/>
    <x v="148"/>
    <s v="C50422"/>
    <x v="0"/>
    <n v="3"/>
    <n v="9862"/>
    <n v="0.37"/>
    <s v="636 Main St"/>
    <x v="1"/>
    <s v="TRK71227815"/>
    <x v="1"/>
    <n v="4"/>
    <x v="3"/>
    <n v="29586"/>
    <n v="10946.82"/>
    <n v="18639.18"/>
  </r>
  <r>
    <s v="ORD200158"/>
    <x v="149"/>
    <s v="C23334"/>
    <x v="2"/>
    <n v="2"/>
    <n v="3862"/>
    <n v="0.48"/>
    <s v="737 Main St"/>
    <x v="2"/>
    <s v="TRK46335144"/>
    <x v="2"/>
    <n v="5"/>
    <x v="0"/>
    <n v="7724"/>
    <n v="3707.52"/>
    <n v="4016.48"/>
  </r>
  <r>
    <s v="ORD200159"/>
    <x v="150"/>
    <s v="C48965"/>
    <x v="4"/>
    <n v="1"/>
    <n v="9526"/>
    <n v="0.21"/>
    <s v="819 Main St"/>
    <x v="2"/>
    <s v="TRK50921780"/>
    <x v="1"/>
    <n v="5"/>
    <x v="2"/>
    <n v="9526"/>
    <n v="2000.46"/>
    <n v="7525.54"/>
  </r>
  <r>
    <s v="ORD200160"/>
    <x v="96"/>
    <s v="C38669"/>
    <x v="0"/>
    <n v="3"/>
    <n v="5027"/>
    <n v="0.18"/>
    <s v="240 Main St"/>
    <x v="4"/>
    <s v="TRK81738254"/>
    <x v="2"/>
    <n v="7"/>
    <x v="1"/>
    <n v="15081"/>
    <n v="2714.58"/>
    <n v="12366.42"/>
  </r>
  <r>
    <s v="ORD200161"/>
    <x v="151"/>
    <s v="C35091"/>
    <x v="0"/>
    <n v="3"/>
    <n v="2984"/>
    <n v="0.49"/>
    <s v="513 Main St"/>
    <x v="2"/>
    <s v="TRK53784452"/>
    <x v="1"/>
    <n v="1"/>
    <x v="3"/>
    <n v="8952"/>
    <n v="4386.4799999999996"/>
    <n v="4565.5200000000004"/>
  </r>
  <r>
    <s v="ORD200162"/>
    <x v="152"/>
    <s v="C82313"/>
    <x v="3"/>
    <n v="1"/>
    <n v="35938"/>
    <n v="0.39"/>
    <s v="917 Main St"/>
    <x v="1"/>
    <s v="TRK79854624"/>
    <x v="2"/>
    <n v="8"/>
    <x v="4"/>
    <n v="35938"/>
    <n v="14015.82"/>
    <n v="21922.18"/>
  </r>
  <r>
    <s v="ORD200163"/>
    <x v="53"/>
    <s v="C99589"/>
    <x v="2"/>
    <n v="3"/>
    <n v="14261"/>
    <n v="0.39"/>
    <s v="277 Main St"/>
    <x v="1"/>
    <s v="TRK16695001"/>
    <x v="2"/>
    <n v="1"/>
    <x v="1"/>
    <n v="42783"/>
    <n v="16685.37"/>
    <n v="26097.63"/>
  </r>
  <r>
    <s v="ORD200164"/>
    <x v="153"/>
    <s v="C70566"/>
    <x v="6"/>
    <n v="2"/>
    <n v="8899"/>
    <n v="0.3"/>
    <s v="667 Main St"/>
    <x v="3"/>
    <s v="TRK49673411"/>
    <x v="2"/>
    <n v="5"/>
    <x v="4"/>
    <n v="17798"/>
    <n v="5339.4"/>
    <n v="12458.6"/>
  </r>
  <r>
    <s v="ORD200165"/>
    <x v="154"/>
    <s v="C60355"/>
    <x v="0"/>
    <n v="1"/>
    <n v="4963"/>
    <n v="0.25"/>
    <s v="226 Main St"/>
    <x v="1"/>
    <s v="TRK30155194"/>
    <x v="0"/>
    <n v="7"/>
    <x v="4"/>
    <n v="4963"/>
    <n v="1240.75"/>
    <n v="3722.25"/>
  </r>
  <r>
    <s v="ORD200166"/>
    <x v="155"/>
    <s v="C28889"/>
    <x v="3"/>
    <n v="3"/>
    <n v="40410"/>
    <n v="0.28000000000000003"/>
    <s v="565 Main St"/>
    <x v="4"/>
    <s v="TRK23791726"/>
    <x v="1"/>
    <n v="6"/>
    <x v="0"/>
    <n v="121230"/>
    <n v="33944.400000000001"/>
    <n v="87285.6"/>
  </r>
  <r>
    <s v="ORD200167"/>
    <x v="156"/>
    <s v="C88304"/>
    <x v="3"/>
    <n v="3"/>
    <n v="47789"/>
    <n v="0.33"/>
    <s v="219 Main St"/>
    <x v="1"/>
    <s v="TRK44268941"/>
    <x v="1"/>
    <n v="2"/>
    <x v="2"/>
    <n v="143367"/>
    <n v="47311.11"/>
    <n v="96055.89"/>
  </r>
  <r>
    <s v="ORD200168"/>
    <x v="157"/>
    <s v="C49517"/>
    <x v="4"/>
    <n v="2"/>
    <n v="9361"/>
    <n v="0.19"/>
    <s v="878 Main St"/>
    <x v="4"/>
    <s v="TRK78551375"/>
    <x v="2"/>
    <n v="6"/>
    <x v="3"/>
    <n v="18722"/>
    <n v="3557.18"/>
    <n v="15164.82"/>
  </r>
  <r>
    <s v="ORD200169"/>
    <x v="158"/>
    <s v="C35785"/>
    <x v="4"/>
    <n v="2"/>
    <n v="5457"/>
    <n v="0.39"/>
    <s v="732 Main St"/>
    <x v="1"/>
    <s v="TRK78923089"/>
    <x v="1"/>
    <n v="2"/>
    <x v="2"/>
    <n v="10914"/>
    <n v="4256.46"/>
    <n v="6657.54"/>
  </r>
  <r>
    <s v="ORD200170"/>
    <x v="159"/>
    <s v="C80223"/>
    <x v="6"/>
    <n v="3"/>
    <n v="7624"/>
    <n v="0.45"/>
    <s v="535 Main St"/>
    <x v="4"/>
    <s v="TRK68632951"/>
    <x v="1"/>
    <n v="8"/>
    <x v="0"/>
    <n v="22872"/>
    <n v="10292.4"/>
    <n v="12579.6"/>
  </r>
  <r>
    <s v="ORD200171"/>
    <x v="160"/>
    <s v="C20448"/>
    <x v="2"/>
    <n v="3"/>
    <n v="12858"/>
    <n v="0.28999999999999998"/>
    <s v="336 Main St"/>
    <x v="2"/>
    <s v="TRK67379895"/>
    <x v="1"/>
    <n v="7"/>
    <x v="0"/>
    <n v="38574"/>
    <n v="11186.46"/>
    <n v="27387.54"/>
  </r>
  <r>
    <s v="ORD200172"/>
    <x v="161"/>
    <s v="C34134"/>
    <x v="4"/>
    <n v="2"/>
    <n v="8122"/>
    <n v="0.19"/>
    <s v="365 Main St"/>
    <x v="1"/>
    <s v="TRK43074303"/>
    <x v="1"/>
    <n v="1"/>
    <x v="2"/>
    <n v="16244"/>
    <n v="3086.36"/>
    <n v="13157.64"/>
  </r>
  <r>
    <s v="ORD200173"/>
    <x v="59"/>
    <s v="C95901"/>
    <x v="1"/>
    <n v="2"/>
    <n v="19508"/>
    <n v="0.35"/>
    <s v="806 Main St"/>
    <x v="1"/>
    <s v="TRK56989066"/>
    <x v="1"/>
    <n v="4"/>
    <x v="4"/>
    <n v="39016"/>
    <n v="13655.599999999999"/>
    <n v="25360.400000000001"/>
  </r>
  <r>
    <s v="ORD200174"/>
    <x v="162"/>
    <s v="C51145"/>
    <x v="4"/>
    <n v="2"/>
    <n v="9373"/>
    <n v="0.09"/>
    <s v="790 Main St"/>
    <x v="0"/>
    <s v="TRK59154274"/>
    <x v="1"/>
    <n v="9"/>
    <x v="2"/>
    <n v="18746"/>
    <n v="1687.1399999999999"/>
    <n v="17058.86"/>
  </r>
  <r>
    <s v="ORD200175"/>
    <x v="163"/>
    <s v="C78170"/>
    <x v="3"/>
    <n v="1"/>
    <n v="48495"/>
    <n v="0.48"/>
    <s v="332 Main St"/>
    <x v="0"/>
    <s v="TRK71410605"/>
    <x v="2"/>
    <n v="6"/>
    <x v="1"/>
    <n v="48495"/>
    <n v="23277.599999999999"/>
    <n v="25217.4"/>
  </r>
  <r>
    <s v="ORD200176"/>
    <x v="164"/>
    <s v="C80151"/>
    <x v="2"/>
    <n v="2"/>
    <n v="13491"/>
    <n v="0.33"/>
    <s v="553 Main St"/>
    <x v="3"/>
    <s v="TRK88251529"/>
    <x v="2"/>
    <n v="8"/>
    <x v="1"/>
    <n v="26982"/>
    <n v="8904.0600000000013"/>
    <n v="18077.939999999999"/>
  </r>
  <r>
    <s v="ORD200177"/>
    <x v="165"/>
    <s v="C55632"/>
    <x v="3"/>
    <n v="3"/>
    <n v="26385"/>
    <n v="0.03"/>
    <s v="354 Main St"/>
    <x v="2"/>
    <s v="TRK13003066"/>
    <x v="2"/>
    <n v="10"/>
    <x v="3"/>
    <n v="79155"/>
    <n v="2374.65"/>
    <n v="76780.350000000006"/>
  </r>
  <r>
    <s v="ORD200178"/>
    <x v="166"/>
    <s v="C53070"/>
    <x v="3"/>
    <n v="1"/>
    <n v="16242"/>
    <n v="0.26"/>
    <s v="283 Main St"/>
    <x v="1"/>
    <s v="TRK49791755"/>
    <x v="1"/>
    <n v="5"/>
    <x v="4"/>
    <n v="16242"/>
    <n v="4222.92"/>
    <n v="12019.08"/>
  </r>
  <r>
    <s v="ORD200179"/>
    <x v="167"/>
    <s v="C27401"/>
    <x v="5"/>
    <n v="3"/>
    <n v="78788"/>
    <n v="0.38"/>
    <s v="500 Main St"/>
    <x v="2"/>
    <s v="TRK14332053"/>
    <x v="1"/>
    <n v="8"/>
    <x v="2"/>
    <n v="236364"/>
    <n v="89818.32"/>
    <n v="146545.68"/>
  </r>
  <r>
    <s v="ORD200180"/>
    <x v="168"/>
    <s v="C87216"/>
    <x v="2"/>
    <n v="2"/>
    <n v="7358"/>
    <n v="0.14000000000000001"/>
    <s v="970 Main St"/>
    <x v="4"/>
    <s v="TRK18713727"/>
    <x v="0"/>
    <n v="10"/>
    <x v="4"/>
    <n v="14716"/>
    <n v="2060.2400000000002"/>
    <n v="12655.76"/>
  </r>
  <r>
    <s v="ORD200181"/>
    <x v="169"/>
    <s v="C38966"/>
    <x v="4"/>
    <n v="3"/>
    <n v="9887"/>
    <n v="0.03"/>
    <s v="247 Main St"/>
    <x v="1"/>
    <s v="TRK17205146"/>
    <x v="0"/>
    <n v="10"/>
    <x v="1"/>
    <n v="29661"/>
    <n v="889.82999999999993"/>
    <n v="28771.17"/>
  </r>
  <r>
    <s v="ORD200182"/>
    <x v="170"/>
    <s v="C16612"/>
    <x v="6"/>
    <n v="2"/>
    <n v="3578"/>
    <n v="0.24"/>
    <s v="596 Main St"/>
    <x v="0"/>
    <s v="TRK96188223"/>
    <x v="2"/>
    <n v="4"/>
    <x v="4"/>
    <n v="7156"/>
    <n v="1717.4399999999998"/>
    <n v="5438.56"/>
  </r>
  <r>
    <s v="ORD200183"/>
    <x v="171"/>
    <s v="C39246"/>
    <x v="0"/>
    <n v="3"/>
    <n v="2849"/>
    <n v="0.42"/>
    <s v="258 Main St"/>
    <x v="0"/>
    <s v="TRK16658182"/>
    <x v="1"/>
    <n v="8"/>
    <x v="2"/>
    <n v="8547"/>
    <n v="3589.74"/>
    <n v="4957.26"/>
  </r>
  <r>
    <s v="ORD200184"/>
    <x v="172"/>
    <s v="C65180"/>
    <x v="2"/>
    <n v="1"/>
    <n v="5716"/>
    <n v="0.13"/>
    <s v="231 Main St"/>
    <x v="3"/>
    <s v="TRK39255469"/>
    <x v="2"/>
    <n v="7"/>
    <x v="1"/>
    <n v="5716"/>
    <n v="743.08"/>
    <n v="4972.92"/>
  </r>
  <r>
    <s v="ORD200185"/>
    <x v="61"/>
    <s v="C46877"/>
    <x v="5"/>
    <n v="1"/>
    <n v="67997"/>
    <n v="0.36"/>
    <s v="572 Main St"/>
    <x v="1"/>
    <s v="TRK96935978"/>
    <x v="0"/>
    <n v="2"/>
    <x v="1"/>
    <n v="67997"/>
    <n v="24478.92"/>
    <n v="43518.080000000002"/>
  </r>
  <r>
    <s v="ORD200186"/>
    <x v="173"/>
    <s v="C30334"/>
    <x v="1"/>
    <n v="3"/>
    <n v="17540"/>
    <n v="0.2"/>
    <s v="322 Main St"/>
    <x v="4"/>
    <s v="TRK66388885"/>
    <x v="2"/>
    <n v="7"/>
    <x v="3"/>
    <n v="52620"/>
    <n v="10524"/>
    <n v="42096"/>
  </r>
  <r>
    <s v="ORD200187"/>
    <x v="174"/>
    <s v="C21227"/>
    <x v="3"/>
    <n v="3"/>
    <n v="36110"/>
    <n v="0.03"/>
    <s v="689 Main St"/>
    <x v="3"/>
    <s v="TRK79129657"/>
    <x v="1"/>
    <n v="6"/>
    <x v="1"/>
    <n v="108330"/>
    <n v="3249.9"/>
    <n v="105080.1"/>
  </r>
  <r>
    <s v="ORD200188"/>
    <x v="175"/>
    <s v="C97715"/>
    <x v="3"/>
    <n v="1"/>
    <n v="31182"/>
    <n v="0.15"/>
    <s v="927 Main St"/>
    <x v="3"/>
    <s v="TRK19515949"/>
    <x v="0"/>
    <n v="2"/>
    <x v="1"/>
    <n v="31182"/>
    <n v="4677.3"/>
    <n v="26504.7"/>
  </r>
  <r>
    <s v="ORD200189"/>
    <x v="176"/>
    <s v="C48939"/>
    <x v="4"/>
    <n v="1"/>
    <n v="6757"/>
    <n v="0.16"/>
    <s v="597 Main St"/>
    <x v="3"/>
    <s v="TRK62786764"/>
    <x v="1"/>
    <n v="5"/>
    <x v="2"/>
    <n v="6757"/>
    <n v="1081.1200000000001"/>
    <n v="5675.88"/>
  </r>
  <r>
    <s v="ORD200190"/>
    <x v="169"/>
    <s v="C35483"/>
    <x v="4"/>
    <n v="1"/>
    <n v="8875"/>
    <n v="0.45"/>
    <s v="725 Main St"/>
    <x v="4"/>
    <s v="TRK79638203"/>
    <x v="2"/>
    <n v="3"/>
    <x v="2"/>
    <n v="8875"/>
    <n v="3993.75"/>
    <n v="4881.25"/>
  </r>
  <r>
    <s v="ORD200191"/>
    <x v="177"/>
    <s v="C51494"/>
    <x v="5"/>
    <n v="3"/>
    <n v="64641"/>
    <n v="0.49"/>
    <s v="505 Main St"/>
    <x v="1"/>
    <s v="TRK58520306"/>
    <x v="0"/>
    <n v="4"/>
    <x v="4"/>
    <n v="193923"/>
    <n v="95022.27"/>
    <n v="98900.73"/>
  </r>
  <r>
    <s v="ORD200192"/>
    <x v="178"/>
    <s v="C58410"/>
    <x v="6"/>
    <n v="1"/>
    <n v="5259"/>
    <n v="0.1"/>
    <s v="151 Main St"/>
    <x v="3"/>
    <s v="TRK19749672"/>
    <x v="1"/>
    <n v="5"/>
    <x v="4"/>
    <n v="5259"/>
    <n v="525.9"/>
    <n v="4733.1000000000004"/>
  </r>
  <r>
    <s v="ORD200193"/>
    <x v="179"/>
    <s v="C11644"/>
    <x v="4"/>
    <n v="1"/>
    <n v="8023"/>
    <n v="0.22"/>
    <s v="429 Main St"/>
    <x v="4"/>
    <s v="TRK81320339"/>
    <x v="1"/>
    <n v="6"/>
    <x v="4"/>
    <n v="8023"/>
    <n v="1765.06"/>
    <n v="6257.9400000000005"/>
  </r>
  <r>
    <s v="ORD200194"/>
    <x v="180"/>
    <s v="C53501"/>
    <x v="0"/>
    <n v="1"/>
    <n v="3979"/>
    <n v="0.49"/>
    <s v="899 Main St"/>
    <x v="4"/>
    <s v="TRK90144892"/>
    <x v="0"/>
    <n v="3"/>
    <x v="4"/>
    <n v="3979"/>
    <n v="1949.71"/>
    <n v="2029.29"/>
  </r>
  <r>
    <s v="ORD200195"/>
    <x v="181"/>
    <s v="C63619"/>
    <x v="3"/>
    <n v="3"/>
    <n v="32323"/>
    <n v="0.2"/>
    <s v="801 Main St"/>
    <x v="0"/>
    <s v="TRK65385674"/>
    <x v="2"/>
    <n v="6"/>
    <x v="2"/>
    <n v="96969"/>
    <n v="19393.8"/>
    <n v="77575.199999999997"/>
  </r>
  <r>
    <s v="ORD200196"/>
    <x v="182"/>
    <s v="C40882"/>
    <x v="6"/>
    <n v="1"/>
    <n v="7944"/>
    <n v="0.17"/>
    <s v="719 Main St"/>
    <x v="4"/>
    <s v="TRK64165503"/>
    <x v="1"/>
    <n v="8"/>
    <x v="2"/>
    <n v="7944"/>
    <n v="1350.48"/>
    <n v="6593.52"/>
  </r>
  <r>
    <s v="ORD200197"/>
    <x v="183"/>
    <s v="C80135"/>
    <x v="5"/>
    <n v="1"/>
    <n v="34781"/>
    <n v="0.05"/>
    <s v="723 Main St"/>
    <x v="4"/>
    <s v="TRK95222269"/>
    <x v="2"/>
    <n v="5"/>
    <x v="1"/>
    <n v="34781"/>
    <n v="1739.0500000000002"/>
    <n v="33041.949999999997"/>
  </r>
  <r>
    <s v="ORD200198"/>
    <x v="184"/>
    <s v="C37594"/>
    <x v="5"/>
    <n v="2"/>
    <n v="61834"/>
    <n v="0.38"/>
    <s v="926 Main St"/>
    <x v="4"/>
    <s v="TRK94405162"/>
    <x v="0"/>
    <n v="8"/>
    <x v="1"/>
    <n v="123668"/>
    <n v="46993.840000000004"/>
    <n v="76674.16"/>
  </r>
  <r>
    <s v="ORD200199"/>
    <x v="185"/>
    <s v="C87524"/>
    <x v="1"/>
    <n v="1"/>
    <n v="32501"/>
    <n v="0.22"/>
    <s v="358 Main St"/>
    <x v="1"/>
    <s v="TRK21114341"/>
    <x v="2"/>
    <n v="5"/>
    <x v="4"/>
    <n v="32501"/>
    <n v="7150.22"/>
    <n v="25350.78"/>
  </r>
  <r>
    <s v="ORD200200"/>
    <x v="186"/>
    <s v="C97681"/>
    <x v="2"/>
    <n v="1"/>
    <n v="1298"/>
    <n v="0.32"/>
    <s v="895 Main St"/>
    <x v="2"/>
    <s v="TRK37531040"/>
    <x v="1"/>
    <n v="9"/>
    <x v="4"/>
    <n v="1298"/>
    <n v="415.36"/>
    <n v="882.64"/>
  </r>
  <r>
    <s v="ORD200201"/>
    <x v="187"/>
    <s v="C10126"/>
    <x v="0"/>
    <n v="1"/>
    <n v="4556"/>
    <n v="0.25"/>
    <s v="146 Main St"/>
    <x v="1"/>
    <s v="TRK75607531"/>
    <x v="0"/>
    <n v="4"/>
    <x v="3"/>
    <n v="4556"/>
    <n v="1139"/>
    <n v="3417"/>
  </r>
  <r>
    <s v="ORD200202"/>
    <x v="188"/>
    <s v="C36938"/>
    <x v="0"/>
    <n v="2"/>
    <n v="9451"/>
    <n v="0.09"/>
    <s v="636 Main St"/>
    <x v="2"/>
    <s v="TRK52522904"/>
    <x v="0"/>
    <n v="3"/>
    <x v="2"/>
    <n v="18902"/>
    <n v="1701.1799999999998"/>
    <n v="17200.82"/>
  </r>
  <r>
    <s v="ORD200203"/>
    <x v="94"/>
    <s v="C99173"/>
    <x v="4"/>
    <n v="2"/>
    <n v="8482"/>
    <n v="0.09"/>
    <s v="172 Main St"/>
    <x v="1"/>
    <s v="TRK89849342"/>
    <x v="0"/>
    <n v="5"/>
    <x v="0"/>
    <n v="16964"/>
    <n v="1526.76"/>
    <n v="15437.24"/>
  </r>
  <r>
    <s v="ORD200204"/>
    <x v="189"/>
    <s v="C99775"/>
    <x v="5"/>
    <n v="2"/>
    <n v="31153"/>
    <n v="0.47"/>
    <s v="478 Main St"/>
    <x v="3"/>
    <s v="TRK21638425"/>
    <x v="2"/>
    <n v="9"/>
    <x v="3"/>
    <n v="62306"/>
    <n v="29283.82"/>
    <n v="33022.18"/>
  </r>
  <r>
    <s v="ORD200205"/>
    <x v="190"/>
    <s v="C19266"/>
    <x v="6"/>
    <n v="3"/>
    <n v="3160"/>
    <n v="0.44"/>
    <s v="609 Main St"/>
    <x v="0"/>
    <s v="TRK58357269"/>
    <x v="1"/>
    <n v="3"/>
    <x v="2"/>
    <n v="9480"/>
    <n v="4171.2"/>
    <n v="5308.8"/>
  </r>
  <r>
    <s v="ORD200206"/>
    <x v="162"/>
    <s v="C31072"/>
    <x v="5"/>
    <n v="2"/>
    <n v="44115"/>
    <n v="0.31"/>
    <s v="729 Main St"/>
    <x v="3"/>
    <s v="TRK77172975"/>
    <x v="2"/>
    <n v="8"/>
    <x v="2"/>
    <n v="88230"/>
    <n v="27351.3"/>
    <n v="60878.7"/>
  </r>
  <r>
    <s v="ORD200207"/>
    <x v="191"/>
    <s v="C54595"/>
    <x v="1"/>
    <n v="2"/>
    <n v="49375"/>
    <n v="0"/>
    <s v="999 Main St"/>
    <x v="0"/>
    <s v="TRK44416659"/>
    <x v="1"/>
    <n v="3"/>
    <x v="4"/>
    <n v="98750"/>
    <n v="0"/>
    <n v="98750"/>
  </r>
  <r>
    <s v="ORD200208"/>
    <x v="192"/>
    <s v="C87777"/>
    <x v="6"/>
    <n v="1"/>
    <n v="1424"/>
    <n v="0.22"/>
    <s v="597 Main St"/>
    <x v="1"/>
    <s v="TRK29003608"/>
    <x v="0"/>
    <n v="3"/>
    <x v="3"/>
    <n v="1424"/>
    <n v="313.28000000000003"/>
    <n v="1110.72"/>
  </r>
  <r>
    <s v="ORD200209"/>
    <x v="193"/>
    <s v="C35854"/>
    <x v="2"/>
    <n v="2"/>
    <n v="5120"/>
    <n v="0.27"/>
    <s v="706 Main St"/>
    <x v="4"/>
    <s v="TRK30615168"/>
    <x v="2"/>
    <n v="9"/>
    <x v="4"/>
    <n v="10240"/>
    <n v="2764.8"/>
    <n v="7475.2"/>
  </r>
  <r>
    <s v="ORD200210"/>
    <x v="194"/>
    <s v="C93821"/>
    <x v="3"/>
    <n v="2"/>
    <n v="35885"/>
    <n v="0.22"/>
    <s v="513 Main St"/>
    <x v="3"/>
    <s v="TRK10658539"/>
    <x v="1"/>
    <n v="7"/>
    <x v="3"/>
    <n v="71770"/>
    <n v="15789.4"/>
    <n v="55980.6"/>
  </r>
  <r>
    <s v="ORD200211"/>
    <x v="195"/>
    <s v="C54390"/>
    <x v="4"/>
    <n v="1"/>
    <n v="9724"/>
    <n v="0.46"/>
    <s v="185 Main St"/>
    <x v="3"/>
    <s v="TRK83853742"/>
    <x v="2"/>
    <n v="7"/>
    <x v="2"/>
    <n v="9724"/>
    <n v="4473.04"/>
    <n v="5250.96"/>
  </r>
  <r>
    <s v="ORD200212"/>
    <x v="196"/>
    <s v="C53215"/>
    <x v="0"/>
    <n v="2"/>
    <n v="1677"/>
    <n v="0.02"/>
    <s v="367 Main St"/>
    <x v="2"/>
    <s v="TRK34751835"/>
    <x v="0"/>
    <n v="6"/>
    <x v="2"/>
    <n v="3354"/>
    <n v="67.08"/>
    <n v="3286.92"/>
  </r>
  <r>
    <s v="ORD200213"/>
    <x v="197"/>
    <s v="C71122"/>
    <x v="5"/>
    <n v="2"/>
    <n v="73227"/>
    <n v="0.33"/>
    <s v="317 Main St"/>
    <x v="4"/>
    <s v="TRK54757882"/>
    <x v="2"/>
    <n v="6"/>
    <x v="2"/>
    <n v="146454"/>
    <n v="48329.82"/>
    <n v="98124.18"/>
  </r>
  <r>
    <s v="ORD200214"/>
    <x v="58"/>
    <s v="C29483"/>
    <x v="6"/>
    <n v="3"/>
    <n v="4605"/>
    <n v="0.16"/>
    <s v="673 Main St"/>
    <x v="1"/>
    <s v="TRK89423603"/>
    <x v="1"/>
    <n v="5"/>
    <x v="3"/>
    <n v="13815"/>
    <n v="2210.4"/>
    <n v="11604.6"/>
  </r>
  <r>
    <s v="ORD200215"/>
    <x v="121"/>
    <s v="C26767"/>
    <x v="4"/>
    <n v="2"/>
    <n v="8386"/>
    <n v="0.28000000000000003"/>
    <s v="432 Main St"/>
    <x v="4"/>
    <s v="TRK24585307"/>
    <x v="0"/>
    <n v="5"/>
    <x v="3"/>
    <n v="16772"/>
    <n v="4696.1600000000008"/>
    <n v="12075.84"/>
  </r>
  <r>
    <s v="ORD200216"/>
    <x v="198"/>
    <s v="C70492"/>
    <x v="0"/>
    <n v="2"/>
    <n v="9789"/>
    <n v="0.33"/>
    <s v="811 Main St"/>
    <x v="1"/>
    <s v="TRK84625405"/>
    <x v="1"/>
    <n v="8"/>
    <x v="4"/>
    <n v="19578"/>
    <n v="6460.7400000000007"/>
    <n v="13117.259999999998"/>
  </r>
  <r>
    <s v="ORD200217"/>
    <x v="199"/>
    <s v="C61549"/>
    <x v="6"/>
    <n v="3"/>
    <n v="5192"/>
    <n v="0.22"/>
    <s v="908 Main St"/>
    <x v="4"/>
    <s v="TRK65596914"/>
    <x v="0"/>
    <n v="9"/>
    <x v="4"/>
    <n v="15576"/>
    <n v="3426.72"/>
    <n v="12149.28"/>
  </r>
  <r>
    <s v="ORD200218"/>
    <x v="200"/>
    <s v="C11665"/>
    <x v="2"/>
    <n v="1"/>
    <n v="3753"/>
    <n v="7.0000000000000007E-2"/>
    <s v="882 Main St"/>
    <x v="3"/>
    <s v="TRK10993930"/>
    <x v="0"/>
    <n v="6"/>
    <x v="0"/>
    <n v="3753"/>
    <n v="262.71000000000004"/>
    <n v="3490.29"/>
  </r>
  <r>
    <s v="ORD200219"/>
    <x v="201"/>
    <s v="C48946"/>
    <x v="5"/>
    <n v="3"/>
    <n v="72235"/>
    <n v="0.26"/>
    <s v="457 Main St"/>
    <x v="4"/>
    <s v="TRK99387220"/>
    <x v="1"/>
    <n v="6"/>
    <x v="2"/>
    <n v="216705"/>
    <n v="56343.3"/>
    <n v="160361.70000000001"/>
  </r>
  <r>
    <s v="ORD200220"/>
    <x v="202"/>
    <s v="C79506"/>
    <x v="5"/>
    <n v="2"/>
    <n v="76567"/>
    <n v="0.47"/>
    <s v="497 Main St"/>
    <x v="2"/>
    <s v="TRK95188748"/>
    <x v="2"/>
    <n v="6"/>
    <x v="1"/>
    <n v="153134"/>
    <n v="71972.98"/>
    <n v="81161.02"/>
  </r>
  <r>
    <s v="ORD200221"/>
    <x v="203"/>
    <s v="C93473"/>
    <x v="2"/>
    <n v="3"/>
    <n v="4695"/>
    <n v="0.27"/>
    <s v="552 Main St"/>
    <x v="0"/>
    <s v="TRK50003989"/>
    <x v="2"/>
    <n v="6"/>
    <x v="4"/>
    <n v="14085"/>
    <n v="3802.9500000000003"/>
    <n v="10282.049999999999"/>
  </r>
  <r>
    <s v="ORD200222"/>
    <x v="204"/>
    <s v="C43124"/>
    <x v="3"/>
    <n v="1"/>
    <n v="24914"/>
    <n v="0.06"/>
    <s v="931 Main St"/>
    <x v="1"/>
    <s v="TRK17293348"/>
    <x v="0"/>
    <n v="8"/>
    <x v="0"/>
    <n v="24914"/>
    <n v="1494.84"/>
    <n v="23419.16"/>
  </r>
  <r>
    <s v="ORD200223"/>
    <x v="57"/>
    <s v="C22783"/>
    <x v="1"/>
    <n v="2"/>
    <n v="19037"/>
    <n v="0.41"/>
    <s v="673 Main St"/>
    <x v="2"/>
    <s v="TRK55009149"/>
    <x v="2"/>
    <n v="9"/>
    <x v="0"/>
    <n v="38074"/>
    <n v="15610.339999999998"/>
    <n v="22463.660000000003"/>
  </r>
  <r>
    <s v="ORD200224"/>
    <x v="205"/>
    <s v="C18567"/>
    <x v="4"/>
    <n v="1"/>
    <n v="7817"/>
    <n v="0.11"/>
    <s v="507 Main St"/>
    <x v="4"/>
    <s v="TRK17554673"/>
    <x v="0"/>
    <n v="9"/>
    <x v="1"/>
    <n v="7817"/>
    <n v="859.87"/>
    <n v="6957.13"/>
  </r>
  <r>
    <s v="ORD200225"/>
    <x v="206"/>
    <s v="C99879"/>
    <x v="1"/>
    <n v="3"/>
    <n v="31607"/>
    <n v="0.19"/>
    <s v="692 Main St"/>
    <x v="0"/>
    <s v="TRK50246700"/>
    <x v="1"/>
    <n v="8"/>
    <x v="4"/>
    <n v="94821"/>
    <n v="18015.990000000002"/>
    <n v="76805.009999999995"/>
  </r>
  <r>
    <s v="ORD200226"/>
    <x v="207"/>
    <s v="C31501"/>
    <x v="6"/>
    <n v="1"/>
    <n v="2847"/>
    <n v="0.21"/>
    <s v="242 Main St"/>
    <x v="3"/>
    <s v="TRK93063929"/>
    <x v="1"/>
    <n v="8"/>
    <x v="0"/>
    <n v="2847"/>
    <n v="597.87"/>
    <n v="2249.13"/>
  </r>
  <r>
    <s v="ORD200227"/>
    <x v="208"/>
    <s v="C93220"/>
    <x v="0"/>
    <n v="2"/>
    <n v="1056"/>
    <n v="0.17"/>
    <s v="353 Main St"/>
    <x v="1"/>
    <s v="TRK89023251"/>
    <x v="0"/>
    <n v="4"/>
    <x v="3"/>
    <n v="2112"/>
    <n v="359.04"/>
    <n v="1752.96"/>
  </r>
  <r>
    <s v="ORD200228"/>
    <x v="209"/>
    <s v="C57867"/>
    <x v="3"/>
    <n v="1"/>
    <n v="28773"/>
    <n v="0.2"/>
    <s v="579 Main St"/>
    <x v="2"/>
    <s v="TRK92055007"/>
    <x v="0"/>
    <n v="8"/>
    <x v="0"/>
    <n v="28773"/>
    <n v="5754.6"/>
    <n v="23018.400000000001"/>
  </r>
  <r>
    <s v="ORD200229"/>
    <x v="210"/>
    <s v="C62622"/>
    <x v="2"/>
    <n v="3"/>
    <n v="14388"/>
    <n v="0.4"/>
    <s v="762 Main St"/>
    <x v="2"/>
    <s v="TRK70997648"/>
    <x v="1"/>
    <n v="3"/>
    <x v="3"/>
    <n v="43164"/>
    <n v="17265.600000000002"/>
    <n v="25898.399999999998"/>
  </r>
  <r>
    <s v="ORD200230"/>
    <x v="211"/>
    <s v="C94595"/>
    <x v="6"/>
    <n v="1"/>
    <n v="6980"/>
    <n v="0.11"/>
    <s v="948 Main St"/>
    <x v="3"/>
    <s v="TRK24497305"/>
    <x v="1"/>
    <n v="6"/>
    <x v="2"/>
    <n v="6980"/>
    <n v="767.8"/>
    <n v="6212.2"/>
  </r>
  <r>
    <s v="ORD200231"/>
    <x v="212"/>
    <s v="C30955"/>
    <x v="1"/>
    <n v="1"/>
    <n v="15238"/>
    <n v="0.24"/>
    <s v="327 Main St"/>
    <x v="3"/>
    <s v="TRK46898848"/>
    <x v="2"/>
    <n v="9"/>
    <x v="0"/>
    <n v="15238"/>
    <n v="3657.12"/>
    <n v="11580.880000000001"/>
  </r>
  <r>
    <s v="ORD200232"/>
    <x v="213"/>
    <s v="C20731"/>
    <x v="4"/>
    <n v="1"/>
    <n v="9096"/>
    <n v="0.01"/>
    <s v="610 Main St"/>
    <x v="0"/>
    <s v="TRK75568437"/>
    <x v="1"/>
    <n v="8"/>
    <x v="4"/>
    <n v="9096"/>
    <n v="90.960000000000008"/>
    <n v="9005.0400000000009"/>
  </r>
  <r>
    <s v="ORD200233"/>
    <x v="214"/>
    <s v="C30168"/>
    <x v="1"/>
    <n v="3"/>
    <n v="26319"/>
    <n v="0.25"/>
    <s v="146 Main St"/>
    <x v="4"/>
    <s v="TRK73699939"/>
    <x v="1"/>
    <n v="3"/>
    <x v="0"/>
    <n v="78957"/>
    <n v="19739.25"/>
    <n v="59217.75"/>
  </r>
  <r>
    <s v="ORD200234"/>
    <x v="130"/>
    <s v="C79842"/>
    <x v="4"/>
    <n v="2"/>
    <n v="8708"/>
    <n v="0.06"/>
    <s v="337 Main St"/>
    <x v="0"/>
    <s v="TRK26957950"/>
    <x v="2"/>
    <n v="7"/>
    <x v="4"/>
    <n v="17416"/>
    <n v="1044.96"/>
    <n v="16371.04"/>
  </r>
  <r>
    <s v="ORD200235"/>
    <x v="215"/>
    <s v="C32854"/>
    <x v="6"/>
    <n v="2"/>
    <n v="9044"/>
    <n v="0.14000000000000001"/>
    <s v="815 Main St"/>
    <x v="4"/>
    <s v="TRK30009218"/>
    <x v="2"/>
    <n v="2"/>
    <x v="4"/>
    <n v="18088"/>
    <n v="2532.3200000000002"/>
    <n v="15555.68"/>
  </r>
  <r>
    <s v="ORD200236"/>
    <x v="107"/>
    <s v="C14847"/>
    <x v="0"/>
    <n v="1"/>
    <n v="5663"/>
    <n v="0.16"/>
    <s v="562 Main St"/>
    <x v="0"/>
    <s v="TRK39663243"/>
    <x v="2"/>
    <n v="3"/>
    <x v="2"/>
    <n v="5663"/>
    <n v="906.08"/>
    <n v="4756.92"/>
  </r>
  <r>
    <s v="ORD200237"/>
    <x v="216"/>
    <s v="C88645"/>
    <x v="0"/>
    <n v="2"/>
    <n v="3665"/>
    <n v="0.04"/>
    <s v="783 Main St"/>
    <x v="2"/>
    <s v="TRK74097570"/>
    <x v="0"/>
    <n v="5"/>
    <x v="3"/>
    <n v="7330"/>
    <n v="293.2"/>
    <n v="7036.8"/>
  </r>
  <r>
    <s v="ORD200238"/>
    <x v="217"/>
    <s v="C66149"/>
    <x v="6"/>
    <n v="3"/>
    <n v="7486"/>
    <n v="0.18"/>
    <s v="770 Main St"/>
    <x v="2"/>
    <s v="TRK76307307"/>
    <x v="2"/>
    <n v="6"/>
    <x v="4"/>
    <n v="22458"/>
    <n v="4042.44"/>
    <n v="18415.560000000001"/>
  </r>
  <r>
    <s v="ORD200239"/>
    <x v="218"/>
    <s v="C20256"/>
    <x v="2"/>
    <n v="1"/>
    <n v="11238"/>
    <n v="0.25"/>
    <s v="456 Main St"/>
    <x v="1"/>
    <s v="TRK71127943"/>
    <x v="0"/>
    <n v="6"/>
    <x v="2"/>
    <n v="11238"/>
    <n v="2809.5"/>
    <n v="8428.5"/>
  </r>
  <r>
    <s v="ORD200240"/>
    <x v="219"/>
    <s v="C14983"/>
    <x v="2"/>
    <n v="2"/>
    <n v="18509"/>
    <n v="0.22"/>
    <s v="255 Main St"/>
    <x v="1"/>
    <s v="TRK93444157"/>
    <x v="2"/>
    <n v="2"/>
    <x v="0"/>
    <n v="37018"/>
    <n v="8143.96"/>
    <n v="28874.04"/>
  </r>
  <r>
    <s v="ORD200241"/>
    <x v="220"/>
    <s v="C20817"/>
    <x v="3"/>
    <n v="1"/>
    <n v="17375"/>
    <n v="0.14000000000000001"/>
    <s v="407 Main St"/>
    <x v="1"/>
    <s v="TRK44164590"/>
    <x v="2"/>
    <n v="6"/>
    <x v="2"/>
    <n v="17375"/>
    <n v="2432.5000000000005"/>
    <n v="14942.5"/>
  </r>
  <r>
    <s v="ORD200242"/>
    <x v="221"/>
    <s v="C94921"/>
    <x v="4"/>
    <n v="1"/>
    <n v="6501"/>
    <n v="0.15"/>
    <s v="134 Main St"/>
    <x v="1"/>
    <s v="TRK97794327"/>
    <x v="2"/>
    <n v="4"/>
    <x v="1"/>
    <n v="6501"/>
    <n v="975.15"/>
    <n v="5525.85"/>
  </r>
  <r>
    <s v="ORD200243"/>
    <x v="222"/>
    <s v="C54725"/>
    <x v="3"/>
    <n v="2"/>
    <n v="37897"/>
    <n v="0.32"/>
    <s v="506 Main St"/>
    <x v="1"/>
    <s v="TRK30601940"/>
    <x v="2"/>
    <n v="7"/>
    <x v="4"/>
    <n v="75794"/>
    <n v="24254.080000000002"/>
    <n v="51539.92"/>
  </r>
  <r>
    <s v="ORD200244"/>
    <x v="223"/>
    <s v="C98096"/>
    <x v="6"/>
    <n v="2"/>
    <n v="3348"/>
    <n v="0.36"/>
    <s v="838 Main St"/>
    <x v="0"/>
    <s v="TRK51518631"/>
    <x v="2"/>
    <n v="4"/>
    <x v="3"/>
    <n v="6696"/>
    <n v="2410.56"/>
    <n v="4285.4400000000005"/>
  </r>
  <r>
    <s v="ORD200245"/>
    <x v="224"/>
    <s v="C12667"/>
    <x v="5"/>
    <n v="2"/>
    <n v="26361"/>
    <n v="0.28999999999999998"/>
    <s v="306 Main St"/>
    <x v="1"/>
    <s v="TRK25390491"/>
    <x v="2"/>
    <n v="1"/>
    <x v="3"/>
    <n v="52722"/>
    <n v="15289.38"/>
    <n v="37432.620000000003"/>
  </r>
  <r>
    <s v="ORD200246"/>
    <x v="225"/>
    <s v="C55354"/>
    <x v="6"/>
    <n v="2"/>
    <n v="4388"/>
    <n v="0.49"/>
    <s v="164 Main St"/>
    <x v="3"/>
    <s v="TRK15439493"/>
    <x v="0"/>
    <n v="2"/>
    <x v="0"/>
    <n v="8776"/>
    <n v="4300.24"/>
    <n v="4475.76"/>
  </r>
  <r>
    <s v="ORD200247"/>
    <x v="145"/>
    <s v="C14600"/>
    <x v="4"/>
    <n v="1"/>
    <n v="8968"/>
    <n v="0.47"/>
    <s v="785 Main St"/>
    <x v="3"/>
    <s v="TRK84984764"/>
    <x v="0"/>
    <n v="4"/>
    <x v="2"/>
    <n v="8968"/>
    <n v="4214.96"/>
    <n v="4753.04"/>
  </r>
  <r>
    <s v="ORD200248"/>
    <x v="226"/>
    <s v="C97187"/>
    <x v="5"/>
    <n v="1"/>
    <n v="21917"/>
    <n v="0.05"/>
    <s v="471 Main St"/>
    <x v="4"/>
    <s v="TRK62283713"/>
    <x v="0"/>
    <n v="6"/>
    <x v="1"/>
    <n v="21917"/>
    <n v="1095.8500000000001"/>
    <n v="20821.150000000001"/>
  </r>
  <r>
    <s v="ORD200249"/>
    <x v="227"/>
    <s v="C39106"/>
    <x v="4"/>
    <n v="3"/>
    <n v="5650"/>
    <n v="0.13"/>
    <s v="245 Main St"/>
    <x v="4"/>
    <s v="TRK35464433"/>
    <x v="2"/>
    <n v="5"/>
    <x v="1"/>
    <n v="16950"/>
    <n v="2203.5"/>
    <n v="14746.5"/>
  </r>
  <r>
    <s v="ORD200250"/>
    <x v="228"/>
    <s v="C93379"/>
    <x v="6"/>
    <n v="2"/>
    <n v="1455"/>
    <n v="0.43"/>
    <s v="318 Main St"/>
    <x v="3"/>
    <s v="TRK67954150"/>
    <x v="0"/>
    <n v="8"/>
    <x v="2"/>
    <n v="2910"/>
    <n v="1251.3"/>
    <n v="1658.7"/>
  </r>
  <r>
    <s v="ORD200251"/>
    <x v="229"/>
    <s v="C93175"/>
    <x v="0"/>
    <n v="3"/>
    <n v="4505"/>
    <n v="0.01"/>
    <s v="814 Main St"/>
    <x v="4"/>
    <s v="TRK32995144"/>
    <x v="0"/>
    <n v="9"/>
    <x v="2"/>
    <n v="13515"/>
    <n v="135.15"/>
    <n v="13379.85"/>
  </r>
  <r>
    <s v="ORD200252"/>
    <x v="28"/>
    <s v="C19648"/>
    <x v="1"/>
    <n v="1"/>
    <n v="17553"/>
    <n v="0.3"/>
    <s v="821 Main St"/>
    <x v="3"/>
    <s v="TRK51297879"/>
    <x v="1"/>
    <n v="5"/>
    <x v="3"/>
    <n v="17553"/>
    <n v="5265.9"/>
    <n v="12287.1"/>
  </r>
  <r>
    <s v="ORD200253"/>
    <x v="230"/>
    <s v="C14891"/>
    <x v="3"/>
    <n v="1"/>
    <n v="18852"/>
    <n v="0.48"/>
    <s v="743 Main St"/>
    <x v="3"/>
    <s v="TRK79471534"/>
    <x v="2"/>
    <n v="7"/>
    <x v="0"/>
    <n v="18852"/>
    <n v="9048.9599999999991"/>
    <n v="9803.0400000000009"/>
  </r>
  <r>
    <s v="ORD200254"/>
    <x v="231"/>
    <s v="C10866"/>
    <x v="0"/>
    <n v="2"/>
    <n v="4779"/>
    <n v="0.34"/>
    <s v="770 Main St"/>
    <x v="1"/>
    <s v="TRK34809583"/>
    <x v="1"/>
    <n v="5"/>
    <x v="0"/>
    <n v="9558"/>
    <n v="3249.7200000000003"/>
    <n v="6308.28"/>
  </r>
  <r>
    <s v="ORD200255"/>
    <x v="232"/>
    <s v="C47283"/>
    <x v="0"/>
    <n v="2"/>
    <n v="6908"/>
    <n v="0.05"/>
    <s v="806 Main St"/>
    <x v="3"/>
    <s v="TRK56235117"/>
    <x v="2"/>
    <n v="2"/>
    <x v="4"/>
    <n v="13816"/>
    <n v="690.80000000000007"/>
    <n v="13125.2"/>
  </r>
  <r>
    <s v="ORD200256"/>
    <x v="233"/>
    <s v="C94323"/>
    <x v="3"/>
    <n v="2"/>
    <n v="34405"/>
    <n v="0.37"/>
    <s v="463 Main St"/>
    <x v="3"/>
    <s v="TRK22663277"/>
    <x v="2"/>
    <n v="10"/>
    <x v="0"/>
    <n v="68810"/>
    <n v="25459.7"/>
    <n v="43350.3"/>
  </r>
  <r>
    <s v="ORD200257"/>
    <x v="234"/>
    <s v="C89732"/>
    <x v="1"/>
    <n v="2"/>
    <n v="44599"/>
    <n v="0.19"/>
    <s v="712 Main St"/>
    <x v="2"/>
    <s v="TRK41059233"/>
    <x v="1"/>
    <n v="5"/>
    <x v="1"/>
    <n v="89198"/>
    <n v="16947.62"/>
    <n v="72250.38"/>
  </r>
  <r>
    <s v="ORD200258"/>
    <x v="235"/>
    <s v="C87764"/>
    <x v="2"/>
    <n v="2"/>
    <n v="17604"/>
    <n v="0.46"/>
    <s v="294 Main St"/>
    <x v="1"/>
    <s v="TRK94082469"/>
    <x v="0"/>
    <n v="2"/>
    <x v="1"/>
    <n v="35208"/>
    <n v="16195.68"/>
    <n v="19012.32"/>
  </r>
  <r>
    <s v="ORD200259"/>
    <x v="236"/>
    <s v="C20977"/>
    <x v="3"/>
    <n v="2"/>
    <n v="26154"/>
    <n v="0.14000000000000001"/>
    <s v="636 Main St"/>
    <x v="2"/>
    <s v="TRK54991561"/>
    <x v="1"/>
    <n v="9"/>
    <x v="0"/>
    <n v="52308"/>
    <n v="7323.1200000000008"/>
    <n v="44984.88"/>
  </r>
  <r>
    <s v="ORD200260"/>
    <x v="209"/>
    <s v="C12245"/>
    <x v="0"/>
    <n v="1"/>
    <n v="9795"/>
    <n v="0.24"/>
    <s v="153 Main St"/>
    <x v="0"/>
    <s v="TRK22000463"/>
    <x v="0"/>
    <n v="3"/>
    <x v="4"/>
    <n v="9795"/>
    <n v="2350.7999999999997"/>
    <n v="7444.2000000000007"/>
  </r>
  <r>
    <s v="ORD200261"/>
    <x v="237"/>
    <s v="C68976"/>
    <x v="1"/>
    <n v="3"/>
    <n v="28219"/>
    <n v="0.37"/>
    <s v="460 Main St"/>
    <x v="3"/>
    <s v="TRK25491356"/>
    <x v="1"/>
    <n v="9"/>
    <x v="2"/>
    <n v="84657"/>
    <n v="31323.09"/>
    <n v="53333.91"/>
  </r>
  <r>
    <s v="ORD200262"/>
    <x v="238"/>
    <s v="C69476"/>
    <x v="1"/>
    <n v="3"/>
    <n v="28250"/>
    <n v="0.13"/>
    <s v="642 Main St"/>
    <x v="2"/>
    <s v="TRK65869386"/>
    <x v="1"/>
    <n v="5"/>
    <x v="1"/>
    <n v="84750"/>
    <n v="11017.5"/>
    <n v="73732.5"/>
  </r>
  <r>
    <s v="ORD200263"/>
    <x v="239"/>
    <s v="C71040"/>
    <x v="1"/>
    <n v="1"/>
    <n v="19435"/>
    <n v="0.09"/>
    <s v="250 Main St"/>
    <x v="2"/>
    <s v="TRK41397604"/>
    <x v="2"/>
    <n v="4"/>
    <x v="4"/>
    <n v="19435"/>
    <n v="1749.1499999999999"/>
    <n v="17685.849999999999"/>
  </r>
  <r>
    <s v="ORD200264"/>
    <x v="240"/>
    <s v="C71035"/>
    <x v="2"/>
    <n v="2"/>
    <n v="15334"/>
    <n v="0"/>
    <s v="977 Main St"/>
    <x v="4"/>
    <s v="TRK19599578"/>
    <x v="2"/>
    <n v="5"/>
    <x v="4"/>
    <n v="30668"/>
    <n v="0"/>
    <n v="30668"/>
  </r>
  <r>
    <s v="ORD200265"/>
    <x v="241"/>
    <s v="C20752"/>
    <x v="4"/>
    <n v="2"/>
    <n v="7202"/>
    <n v="0.24"/>
    <s v="150 Main St"/>
    <x v="0"/>
    <s v="TRK22298450"/>
    <x v="0"/>
    <n v="4"/>
    <x v="4"/>
    <n v="14404"/>
    <n v="3456.96"/>
    <n v="10947.04"/>
  </r>
  <r>
    <s v="ORD200266"/>
    <x v="180"/>
    <s v="C38840"/>
    <x v="3"/>
    <n v="1"/>
    <n v="19413"/>
    <n v="0.46"/>
    <s v="589 Main St"/>
    <x v="2"/>
    <s v="TRK48484633"/>
    <x v="1"/>
    <n v="6"/>
    <x v="1"/>
    <n v="19413"/>
    <n v="8929.98"/>
    <n v="10483.02"/>
  </r>
  <r>
    <s v="ORD200267"/>
    <x v="242"/>
    <s v="C84480"/>
    <x v="3"/>
    <n v="3"/>
    <n v="30499"/>
    <n v="0.14000000000000001"/>
    <s v="803 Main St"/>
    <x v="0"/>
    <s v="TRK62361867"/>
    <x v="1"/>
    <n v="9"/>
    <x v="3"/>
    <n v="91497"/>
    <n v="12809.580000000002"/>
    <n v="78687.42"/>
  </r>
  <r>
    <s v="ORD200268"/>
    <x v="178"/>
    <s v="C37032"/>
    <x v="1"/>
    <n v="3"/>
    <n v="29139"/>
    <n v="0.02"/>
    <s v="655 Main St"/>
    <x v="0"/>
    <s v="TRK48639226"/>
    <x v="1"/>
    <n v="7"/>
    <x v="1"/>
    <n v="87417"/>
    <n v="1748.3400000000001"/>
    <n v="85668.66"/>
  </r>
  <r>
    <s v="ORD200269"/>
    <x v="97"/>
    <s v="C48942"/>
    <x v="2"/>
    <n v="2"/>
    <n v="6862"/>
    <n v="0.31"/>
    <s v="129 Main St"/>
    <x v="2"/>
    <s v="TRK29355120"/>
    <x v="2"/>
    <n v="7"/>
    <x v="4"/>
    <n v="13724"/>
    <n v="4254.4399999999996"/>
    <n v="9469.5600000000013"/>
  </r>
  <r>
    <s v="ORD200270"/>
    <x v="243"/>
    <s v="C13540"/>
    <x v="4"/>
    <n v="2"/>
    <n v="7585"/>
    <n v="0.03"/>
    <s v="127 Main St"/>
    <x v="0"/>
    <s v="TRK81087373"/>
    <x v="0"/>
    <n v="5"/>
    <x v="4"/>
    <n v="15170"/>
    <n v="455.09999999999997"/>
    <n v="14714.9"/>
  </r>
  <r>
    <s v="ORD200271"/>
    <x v="125"/>
    <s v="C59572"/>
    <x v="0"/>
    <n v="1"/>
    <n v="4305"/>
    <n v="0.25"/>
    <s v="791 Main St"/>
    <x v="4"/>
    <s v="TRK16792991"/>
    <x v="0"/>
    <n v="6"/>
    <x v="1"/>
    <n v="4305"/>
    <n v="1076.25"/>
    <n v="3228.75"/>
  </r>
  <r>
    <s v="ORD200272"/>
    <x v="244"/>
    <s v="C29758"/>
    <x v="3"/>
    <n v="1"/>
    <n v="22352"/>
    <n v="0.19"/>
    <s v="119 Main St"/>
    <x v="1"/>
    <s v="TRK12990043"/>
    <x v="2"/>
    <n v="6"/>
    <x v="0"/>
    <n v="22352"/>
    <n v="4246.88"/>
    <n v="18105.12"/>
  </r>
  <r>
    <s v="ORD200273"/>
    <x v="245"/>
    <s v="C11849"/>
    <x v="2"/>
    <n v="1"/>
    <n v="2310"/>
    <n v="0.24"/>
    <s v="974 Main St"/>
    <x v="1"/>
    <s v="TRK91195261"/>
    <x v="2"/>
    <n v="7"/>
    <x v="2"/>
    <n v="2310"/>
    <n v="554.4"/>
    <n v="1755.6"/>
  </r>
  <r>
    <s v="ORD200274"/>
    <x v="246"/>
    <s v="C50967"/>
    <x v="1"/>
    <n v="1"/>
    <n v="15044"/>
    <n v="0.08"/>
    <s v="884 Main St"/>
    <x v="3"/>
    <s v="TRK65300814"/>
    <x v="1"/>
    <n v="5"/>
    <x v="1"/>
    <n v="15044"/>
    <n v="1203.52"/>
    <n v="13840.48"/>
  </r>
  <r>
    <s v="ORD200275"/>
    <x v="247"/>
    <s v="C80735"/>
    <x v="3"/>
    <n v="2"/>
    <n v="16995"/>
    <n v="0.05"/>
    <s v="360 Main St"/>
    <x v="2"/>
    <s v="TRK99880231"/>
    <x v="1"/>
    <n v="4"/>
    <x v="4"/>
    <n v="33990"/>
    <n v="1699.5"/>
    <n v="32290.5"/>
  </r>
  <r>
    <s v="ORD200276"/>
    <x v="248"/>
    <s v="C99050"/>
    <x v="4"/>
    <n v="2"/>
    <n v="5292"/>
    <n v="0.37"/>
    <s v="654 Main St"/>
    <x v="0"/>
    <s v="TRK56927089"/>
    <x v="1"/>
    <n v="3"/>
    <x v="0"/>
    <n v="10584"/>
    <n v="3916.08"/>
    <n v="6667.92"/>
  </r>
  <r>
    <s v="ORD200277"/>
    <x v="82"/>
    <s v="C11210"/>
    <x v="3"/>
    <n v="1"/>
    <n v="20681"/>
    <n v="0.12"/>
    <s v="910 Main St"/>
    <x v="2"/>
    <s v="TRK44929965"/>
    <x v="1"/>
    <n v="9"/>
    <x v="3"/>
    <n v="20681"/>
    <n v="2481.7199999999998"/>
    <n v="18199.28"/>
  </r>
  <r>
    <s v="ORD200278"/>
    <x v="249"/>
    <s v="C46015"/>
    <x v="5"/>
    <n v="1"/>
    <n v="61439"/>
    <n v="0.4"/>
    <s v="299 Main St"/>
    <x v="4"/>
    <s v="TRK46598430"/>
    <x v="1"/>
    <n v="6"/>
    <x v="0"/>
    <n v="61439"/>
    <n v="24575.600000000002"/>
    <n v="36863.399999999994"/>
  </r>
  <r>
    <s v="ORD200279"/>
    <x v="250"/>
    <s v="C69167"/>
    <x v="3"/>
    <n v="3"/>
    <n v="16202"/>
    <n v="0.38"/>
    <s v="263 Main St"/>
    <x v="1"/>
    <s v="TRK12425655"/>
    <x v="2"/>
    <n v="7"/>
    <x v="2"/>
    <n v="48606"/>
    <n v="18470.28"/>
    <n v="30135.72"/>
  </r>
  <r>
    <s v="ORD200280"/>
    <x v="14"/>
    <s v="C55388"/>
    <x v="2"/>
    <n v="3"/>
    <n v="16736"/>
    <n v="0.1"/>
    <s v="740 Main St"/>
    <x v="3"/>
    <s v="TRK75741001"/>
    <x v="1"/>
    <n v="6"/>
    <x v="0"/>
    <n v="50208"/>
    <n v="5020.8"/>
    <n v="45187.199999999997"/>
  </r>
  <r>
    <s v="ORD200281"/>
    <x v="152"/>
    <s v="C87181"/>
    <x v="6"/>
    <n v="3"/>
    <n v="4221"/>
    <n v="0.45"/>
    <s v="195 Main St"/>
    <x v="4"/>
    <s v="TRK60093390"/>
    <x v="2"/>
    <n v="9"/>
    <x v="1"/>
    <n v="12663"/>
    <n v="5698.35"/>
    <n v="6964.65"/>
  </r>
  <r>
    <s v="ORD200282"/>
    <x v="251"/>
    <s v="C30411"/>
    <x v="4"/>
    <n v="3"/>
    <n v="9714"/>
    <n v="0.08"/>
    <s v="375 Main St"/>
    <x v="3"/>
    <s v="TRK71810536"/>
    <x v="2"/>
    <n v="9"/>
    <x v="4"/>
    <n v="29142"/>
    <n v="2331.36"/>
    <n v="26810.639999999999"/>
  </r>
  <r>
    <s v="ORD200283"/>
    <x v="252"/>
    <s v="C39638"/>
    <x v="5"/>
    <n v="1"/>
    <n v="71592"/>
    <n v="0.4"/>
    <s v="990 Main St"/>
    <x v="4"/>
    <s v="TRK69745608"/>
    <x v="0"/>
    <n v="6"/>
    <x v="4"/>
    <n v="71592"/>
    <n v="28636.800000000003"/>
    <n v="42955.199999999997"/>
  </r>
  <r>
    <s v="ORD200284"/>
    <x v="223"/>
    <s v="C27203"/>
    <x v="5"/>
    <n v="1"/>
    <n v="37061"/>
    <n v="0.21"/>
    <s v="516 Main St"/>
    <x v="2"/>
    <s v="TRK22023906"/>
    <x v="0"/>
    <n v="6"/>
    <x v="3"/>
    <n v="37061"/>
    <n v="7782.8099999999995"/>
    <n v="29278.190000000002"/>
  </r>
  <r>
    <s v="ORD200285"/>
    <x v="69"/>
    <s v="C67583"/>
    <x v="1"/>
    <n v="2"/>
    <n v="29457"/>
    <n v="0.09"/>
    <s v="974 Main St"/>
    <x v="1"/>
    <s v="TRK93281700"/>
    <x v="1"/>
    <n v="3"/>
    <x v="4"/>
    <n v="58914"/>
    <n v="5302.26"/>
    <n v="53611.74"/>
  </r>
  <r>
    <s v="ORD200286"/>
    <x v="253"/>
    <s v="C70554"/>
    <x v="0"/>
    <n v="1"/>
    <n v="3151"/>
    <n v="0.47"/>
    <s v="187 Main St"/>
    <x v="3"/>
    <s v="TRK61086952"/>
    <x v="2"/>
    <n v="8"/>
    <x v="4"/>
    <n v="3151"/>
    <n v="1480.97"/>
    <n v="1670.03"/>
  </r>
  <r>
    <s v="ORD200287"/>
    <x v="254"/>
    <s v="C70437"/>
    <x v="3"/>
    <n v="1"/>
    <n v="35700"/>
    <n v="0.48"/>
    <s v="630 Main St"/>
    <x v="1"/>
    <s v="TRK26628830"/>
    <x v="0"/>
    <n v="5"/>
    <x v="3"/>
    <n v="35700"/>
    <n v="17136"/>
    <n v="18564"/>
  </r>
  <r>
    <s v="ORD200288"/>
    <x v="255"/>
    <s v="C97643"/>
    <x v="5"/>
    <n v="3"/>
    <n v="61620"/>
    <n v="0.26"/>
    <s v="537 Main St"/>
    <x v="0"/>
    <s v="TRK60831391"/>
    <x v="2"/>
    <n v="8"/>
    <x v="4"/>
    <n v="184860"/>
    <n v="48063.6"/>
    <n v="136796.4"/>
  </r>
  <r>
    <s v="ORD200289"/>
    <x v="256"/>
    <s v="C17136"/>
    <x v="3"/>
    <n v="2"/>
    <n v="43314"/>
    <n v="0.23"/>
    <s v="333 Main St"/>
    <x v="2"/>
    <s v="TRK55362541"/>
    <x v="0"/>
    <n v="8"/>
    <x v="1"/>
    <n v="86628"/>
    <n v="19924.440000000002"/>
    <n v="66703.56"/>
  </r>
  <r>
    <s v="ORD200290"/>
    <x v="257"/>
    <s v="C24901"/>
    <x v="3"/>
    <n v="2"/>
    <n v="37625"/>
    <n v="0.45"/>
    <s v="258 Main St"/>
    <x v="4"/>
    <s v="TRK14029489"/>
    <x v="1"/>
    <n v="8"/>
    <x v="3"/>
    <n v="75250"/>
    <n v="33862.5"/>
    <n v="41387.5"/>
  </r>
  <r>
    <s v="ORD200291"/>
    <x v="258"/>
    <s v="C61521"/>
    <x v="1"/>
    <n v="3"/>
    <n v="48016"/>
    <n v="0.3"/>
    <s v="670 Main St"/>
    <x v="2"/>
    <s v="TRK93676567"/>
    <x v="1"/>
    <n v="6"/>
    <x v="4"/>
    <n v="144048"/>
    <n v="43214.400000000001"/>
    <n v="100833.60000000001"/>
  </r>
  <r>
    <s v="ORD200292"/>
    <x v="259"/>
    <s v="C39639"/>
    <x v="0"/>
    <n v="3"/>
    <n v="8866"/>
    <n v="0.13"/>
    <s v="185 Main St"/>
    <x v="2"/>
    <s v="TRK31042152"/>
    <x v="1"/>
    <n v="5"/>
    <x v="3"/>
    <n v="26598"/>
    <n v="3457.7400000000002"/>
    <n v="23140.26"/>
  </r>
  <r>
    <s v="ORD200293"/>
    <x v="223"/>
    <s v="C33220"/>
    <x v="2"/>
    <n v="2"/>
    <n v="19505"/>
    <n v="0.21"/>
    <s v="564 Main St"/>
    <x v="3"/>
    <s v="TRK40450219"/>
    <x v="1"/>
    <n v="9"/>
    <x v="0"/>
    <n v="39010"/>
    <n v="8192.1"/>
    <n v="30817.9"/>
  </r>
  <r>
    <s v="ORD200294"/>
    <x v="260"/>
    <s v="C65414"/>
    <x v="1"/>
    <n v="2"/>
    <n v="28967"/>
    <n v="0.42"/>
    <s v="208 Main St"/>
    <x v="1"/>
    <s v="TRK67562517"/>
    <x v="0"/>
    <n v="7"/>
    <x v="1"/>
    <n v="57934"/>
    <n v="24332.28"/>
    <n v="33601.72"/>
  </r>
  <r>
    <s v="ORD200295"/>
    <x v="261"/>
    <s v="C49009"/>
    <x v="4"/>
    <n v="1"/>
    <n v="6048"/>
    <n v="0.43"/>
    <s v="278 Main St"/>
    <x v="0"/>
    <s v="TRK46285799"/>
    <x v="0"/>
    <n v="9"/>
    <x v="2"/>
    <n v="6048"/>
    <n v="2600.64"/>
    <n v="3447.36"/>
  </r>
  <r>
    <s v="ORD200296"/>
    <x v="83"/>
    <s v="C48453"/>
    <x v="6"/>
    <n v="2"/>
    <n v="2046"/>
    <n v="0.47"/>
    <s v="434 Main St"/>
    <x v="0"/>
    <s v="TRK52110494"/>
    <x v="2"/>
    <n v="10"/>
    <x v="1"/>
    <n v="4092"/>
    <n v="1923.2399999999998"/>
    <n v="2168.7600000000002"/>
  </r>
  <r>
    <s v="ORD200297"/>
    <x v="262"/>
    <s v="C68078"/>
    <x v="6"/>
    <n v="2"/>
    <n v="6432"/>
    <n v="0.14000000000000001"/>
    <s v="252 Main St"/>
    <x v="2"/>
    <s v="TRK64862812"/>
    <x v="2"/>
    <n v="7"/>
    <x v="0"/>
    <n v="12864"/>
    <n v="1800.9600000000003"/>
    <n v="11063.039999999999"/>
  </r>
  <r>
    <s v="ORD200298"/>
    <x v="263"/>
    <s v="C19402"/>
    <x v="4"/>
    <n v="2"/>
    <n v="5020"/>
    <n v="0.34"/>
    <s v="267 Main St"/>
    <x v="1"/>
    <s v="TRK97825212"/>
    <x v="1"/>
    <n v="6"/>
    <x v="2"/>
    <n v="10040"/>
    <n v="3413.6000000000004"/>
    <n v="6626.4"/>
  </r>
  <r>
    <s v="ORD200299"/>
    <x v="264"/>
    <s v="C30711"/>
    <x v="0"/>
    <n v="1"/>
    <n v="8447"/>
    <n v="0.03"/>
    <s v="856 Main St"/>
    <x v="3"/>
    <s v="TRK42696593"/>
    <x v="2"/>
    <n v="2"/>
    <x v="0"/>
    <n v="8447"/>
    <n v="253.41"/>
    <n v="8193.59"/>
  </r>
  <r>
    <s v="ORD200300"/>
    <x v="265"/>
    <s v="C39000"/>
    <x v="1"/>
    <n v="2"/>
    <n v="19799"/>
    <n v="0.36"/>
    <s v="894 Main St"/>
    <x v="0"/>
    <s v="TRK33753945"/>
    <x v="1"/>
    <n v="3"/>
    <x v="3"/>
    <n v="39598"/>
    <n v="14255.279999999999"/>
    <n v="25342.720000000001"/>
  </r>
  <r>
    <s v="ORD200301"/>
    <x v="67"/>
    <s v="C31105"/>
    <x v="3"/>
    <n v="2"/>
    <n v="40333"/>
    <n v="0.28000000000000003"/>
    <s v="726 Main St"/>
    <x v="4"/>
    <s v="TRK40149095"/>
    <x v="1"/>
    <n v="2"/>
    <x v="2"/>
    <n v="80666"/>
    <n v="22586.480000000003"/>
    <n v="58079.519999999997"/>
  </r>
  <r>
    <s v="ORD200302"/>
    <x v="220"/>
    <s v="C29432"/>
    <x v="3"/>
    <n v="1"/>
    <n v="26799"/>
    <n v="0.12"/>
    <s v="121 Main St"/>
    <x v="4"/>
    <s v="TRK44142517"/>
    <x v="2"/>
    <n v="4"/>
    <x v="0"/>
    <n v="26799"/>
    <n v="3215.8799999999997"/>
    <n v="23583.119999999999"/>
  </r>
  <r>
    <s v="ORD200303"/>
    <x v="34"/>
    <s v="C48531"/>
    <x v="2"/>
    <n v="3"/>
    <n v="7214"/>
    <n v="0.33"/>
    <s v="368 Main St"/>
    <x v="0"/>
    <s v="TRK95462192"/>
    <x v="1"/>
    <n v="1"/>
    <x v="4"/>
    <n v="21642"/>
    <n v="7141.8600000000006"/>
    <n v="14500.14"/>
  </r>
  <r>
    <s v="ORD200304"/>
    <x v="266"/>
    <s v="C86762"/>
    <x v="0"/>
    <n v="3"/>
    <n v="1613"/>
    <n v="7.0000000000000007E-2"/>
    <s v="326 Main St"/>
    <x v="3"/>
    <s v="TRK75686292"/>
    <x v="1"/>
    <n v="10"/>
    <x v="0"/>
    <n v="4839"/>
    <n v="338.73"/>
    <n v="4500.2700000000004"/>
  </r>
  <r>
    <s v="ORD200305"/>
    <x v="97"/>
    <s v="C63822"/>
    <x v="5"/>
    <n v="3"/>
    <n v="45322"/>
    <n v="0.17"/>
    <s v="235 Main St"/>
    <x v="4"/>
    <s v="TRK59353216"/>
    <x v="2"/>
    <n v="9"/>
    <x v="0"/>
    <n v="135966"/>
    <n v="23114.22"/>
    <n v="112851.78"/>
  </r>
  <r>
    <s v="ORD200306"/>
    <x v="267"/>
    <s v="C70495"/>
    <x v="4"/>
    <n v="1"/>
    <n v="7967"/>
    <n v="0.2"/>
    <s v="238 Main St"/>
    <x v="0"/>
    <s v="TRK65511225"/>
    <x v="2"/>
    <n v="3"/>
    <x v="0"/>
    <n v="7967"/>
    <n v="1593.4"/>
    <n v="6373.6"/>
  </r>
  <r>
    <s v="ORD200307"/>
    <x v="268"/>
    <s v="C92407"/>
    <x v="5"/>
    <n v="2"/>
    <n v="42807"/>
    <n v="0.39"/>
    <s v="135 Main St"/>
    <x v="1"/>
    <s v="TRK11755610"/>
    <x v="1"/>
    <n v="4"/>
    <x v="2"/>
    <n v="85614"/>
    <n v="33389.46"/>
    <n v="52224.54"/>
  </r>
  <r>
    <s v="ORD200308"/>
    <x v="66"/>
    <s v="C75888"/>
    <x v="4"/>
    <n v="3"/>
    <n v="6784"/>
    <n v="0.15"/>
    <s v="790 Main St"/>
    <x v="0"/>
    <s v="TRK98467398"/>
    <x v="1"/>
    <n v="7"/>
    <x v="0"/>
    <n v="20352"/>
    <n v="3052.7999999999997"/>
    <n v="17299.2"/>
  </r>
  <r>
    <s v="ORD200309"/>
    <x v="269"/>
    <s v="C63153"/>
    <x v="3"/>
    <n v="2"/>
    <n v="19349"/>
    <n v="0.02"/>
    <s v="625 Main St"/>
    <x v="0"/>
    <s v="TRK38033305"/>
    <x v="1"/>
    <n v="4"/>
    <x v="3"/>
    <n v="38698"/>
    <n v="773.96"/>
    <n v="37924.04"/>
  </r>
  <r>
    <s v="ORD200310"/>
    <x v="270"/>
    <s v="C85863"/>
    <x v="4"/>
    <n v="3"/>
    <n v="5648"/>
    <n v="0.09"/>
    <s v="968 Main St"/>
    <x v="1"/>
    <s v="TRK16094218"/>
    <x v="0"/>
    <n v="4"/>
    <x v="1"/>
    <n v="16944"/>
    <n v="1524.96"/>
    <n v="15419.04"/>
  </r>
  <r>
    <s v="ORD200311"/>
    <x v="271"/>
    <s v="C71698"/>
    <x v="6"/>
    <n v="1"/>
    <n v="6063"/>
    <n v="0.3"/>
    <s v="274 Main St"/>
    <x v="1"/>
    <s v="TRK34786818"/>
    <x v="1"/>
    <n v="8"/>
    <x v="0"/>
    <n v="6063"/>
    <n v="1818.8999999999999"/>
    <n v="4244.1000000000004"/>
  </r>
  <r>
    <s v="ORD200312"/>
    <x v="272"/>
    <s v="C35397"/>
    <x v="4"/>
    <n v="1"/>
    <n v="7885"/>
    <n v="0.01"/>
    <s v="579 Main St"/>
    <x v="3"/>
    <s v="TRK64742535"/>
    <x v="2"/>
    <n v="7"/>
    <x v="1"/>
    <n v="7885"/>
    <n v="78.850000000000009"/>
    <n v="7806.15"/>
  </r>
  <r>
    <s v="ORD200313"/>
    <x v="273"/>
    <s v="C67687"/>
    <x v="3"/>
    <n v="3"/>
    <n v="31807"/>
    <n v="0.4"/>
    <s v="978 Main St"/>
    <x v="4"/>
    <s v="TRK22838735"/>
    <x v="1"/>
    <n v="7"/>
    <x v="0"/>
    <n v="95421"/>
    <n v="38168.400000000001"/>
    <n v="57252.6"/>
  </r>
  <r>
    <s v="ORD200314"/>
    <x v="274"/>
    <s v="C29931"/>
    <x v="6"/>
    <n v="1"/>
    <n v="1075"/>
    <n v="0.45"/>
    <s v="540 Main St"/>
    <x v="1"/>
    <s v="TRK48712417"/>
    <x v="1"/>
    <n v="4"/>
    <x v="1"/>
    <n v="1075"/>
    <n v="483.75"/>
    <n v="591.25"/>
  </r>
  <r>
    <s v="ORD200315"/>
    <x v="275"/>
    <s v="C59139"/>
    <x v="2"/>
    <n v="3"/>
    <n v="7506"/>
    <n v="0.25"/>
    <s v="301 Main St"/>
    <x v="1"/>
    <s v="TRK45507090"/>
    <x v="2"/>
    <n v="9"/>
    <x v="2"/>
    <n v="22518"/>
    <n v="5629.5"/>
    <n v="16888.5"/>
  </r>
  <r>
    <s v="ORD200316"/>
    <x v="276"/>
    <s v="C66078"/>
    <x v="6"/>
    <n v="2"/>
    <n v="6822"/>
    <n v="0.35"/>
    <s v="101 Main St"/>
    <x v="3"/>
    <s v="TRK86474559"/>
    <x v="0"/>
    <n v="9"/>
    <x v="3"/>
    <n v="13644"/>
    <n v="4775.3999999999996"/>
    <n v="8868.6"/>
  </r>
  <r>
    <s v="ORD200317"/>
    <x v="132"/>
    <s v="C88370"/>
    <x v="0"/>
    <n v="2"/>
    <n v="7586"/>
    <n v="0.23"/>
    <s v="339 Main St"/>
    <x v="1"/>
    <s v="TRK22575151"/>
    <x v="0"/>
    <n v="5"/>
    <x v="0"/>
    <n v="15172"/>
    <n v="3489.56"/>
    <n v="11682.44"/>
  </r>
  <r>
    <s v="ORD200318"/>
    <x v="277"/>
    <s v="C93375"/>
    <x v="3"/>
    <n v="3"/>
    <n v="16414"/>
    <n v="0.15"/>
    <s v="317 Main St"/>
    <x v="0"/>
    <s v="TRK95706967"/>
    <x v="1"/>
    <n v="7"/>
    <x v="4"/>
    <n v="49242"/>
    <n v="7386.2999999999993"/>
    <n v="41855.699999999997"/>
  </r>
  <r>
    <s v="ORD200319"/>
    <x v="278"/>
    <s v="C53049"/>
    <x v="5"/>
    <n v="3"/>
    <n v="20447"/>
    <n v="0.08"/>
    <s v="413 Main St"/>
    <x v="4"/>
    <s v="TRK48974907"/>
    <x v="2"/>
    <n v="6"/>
    <x v="0"/>
    <n v="61341"/>
    <n v="4907.28"/>
    <n v="56433.72"/>
  </r>
  <r>
    <s v="ORD200320"/>
    <x v="36"/>
    <s v="C55590"/>
    <x v="4"/>
    <n v="3"/>
    <n v="5457"/>
    <n v="0.26"/>
    <s v="772 Main St"/>
    <x v="2"/>
    <s v="TRK48792951"/>
    <x v="0"/>
    <n v="1"/>
    <x v="3"/>
    <n v="16371"/>
    <n v="4256.46"/>
    <n v="12114.54"/>
  </r>
  <r>
    <s v="ORD200321"/>
    <x v="279"/>
    <s v="C47086"/>
    <x v="1"/>
    <n v="1"/>
    <n v="45910"/>
    <n v="0.46"/>
    <s v="135 Main St"/>
    <x v="0"/>
    <s v="TRK44194358"/>
    <x v="2"/>
    <n v="6"/>
    <x v="4"/>
    <n v="45910"/>
    <n v="21118.600000000002"/>
    <n v="24791.399999999998"/>
  </r>
  <r>
    <s v="ORD200322"/>
    <x v="280"/>
    <s v="C48646"/>
    <x v="1"/>
    <n v="2"/>
    <n v="36964"/>
    <n v="0.44"/>
    <s v="339 Main St"/>
    <x v="0"/>
    <s v="TRK18233748"/>
    <x v="1"/>
    <n v="6"/>
    <x v="3"/>
    <n v="73928"/>
    <n v="32528.32"/>
    <n v="41399.68"/>
  </r>
  <r>
    <s v="ORD200323"/>
    <x v="281"/>
    <s v="C29416"/>
    <x v="5"/>
    <n v="3"/>
    <n v="31760"/>
    <n v="0.46"/>
    <s v="414 Main St"/>
    <x v="0"/>
    <s v="TRK63820842"/>
    <x v="1"/>
    <n v="1"/>
    <x v="1"/>
    <n v="95280"/>
    <n v="43828.800000000003"/>
    <n v="51451.199999999997"/>
  </r>
  <r>
    <s v="ORD200324"/>
    <x v="136"/>
    <s v="C13525"/>
    <x v="2"/>
    <n v="2"/>
    <n v="18911"/>
    <n v="0.48"/>
    <s v="847 Main St"/>
    <x v="0"/>
    <s v="TRK70193221"/>
    <x v="2"/>
    <n v="5"/>
    <x v="1"/>
    <n v="37822"/>
    <n v="18154.559999999998"/>
    <n v="19667.440000000002"/>
  </r>
  <r>
    <s v="ORD200325"/>
    <x v="282"/>
    <s v="C53545"/>
    <x v="6"/>
    <n v="3"/>
    <n v="8866"/>
    <n v="0.08"/>
    <s v="665 Main St"/>
    <x v="2"/>
    <s v="TRK61123177"/>
    <x v="0"/>
    <n v="8"/>
    <x v="1"/>
    <n v="26598"/>
    <n v="2127.84"/>
    <n v="24470.16"/>
  </r>
  <r>
    <s v="ORD200326"/>
    <x v="283"/>
    <s v="C65986"/>
    <x v="5"/>
    <n v="3"/>
    <n v="51011"/>
    <n v="7.0000000000000007E-2"/>
    <s v="273 Main St"/>
    <x v="3"/>
    <s v="TRK98353867"/>
    <x v="1"/>
    <n v="5"/>
    <x v="3"/>
    <n v="153033"/>
    <n v="10712.310000000001"/>
    <n v="142320.69"/>
  </r>
  <r>
    <s v="ORD200327"/>
    <x v="284"/>
    <s v="C17302"/>
    <x v="1"/>
    <n v="2"/>
    <n v="42936"/>
    <n v="0.21"/>
    <s v="385 Main St"/>
    <x v="3"/>
    <s v="TRK43940016"/>
    <x v="1"/>
    <n v="5"/>
    <x v="2"/>
    <n v="85872"/>
    <n v="18033.12"/>
    <n v="67838.880000000005"/>
  </r>
  <r>
    <s v="ORD200328"/>
    <x v="285"/>
    <s v="C18404"/>
    <x v="2"/>
    <n v="3"/>
    <n v="16977"/>
    <n v="0.34"/>
    <s v="546 Main St"/>
    <x v="1"/>
    <s v="TRK89401624"/>
    <x v="0"/>
    <n v="7"/>
    <x v="4"/>
    <n v="50931"/>
    <n v="17316.54"/>
    <n v="33614.46"/>
  </r>
  <r>
    <s v="ORD200329"/>
    <x v="286"/>
    <s v="C88371"/>
    <x v="3"/>
    <n v="1"/>
    <n v="32252"/>
    <n v="0.22"/>
    <s v="306 Main St"/>
    <x v="2"/>
    <s v="TRK63224811"/>
    <x v="0"/>
    <n v="6"/>
    <x v="4"/>
    <n v="32252"/>
    <n v="7095.44"/>
    <n v="25156.560000000001"/>
  </r>
  <r>
    <s v="ORD200330"/>
    <x v="287"/>
    <s v="C38068"/>
    <x v="6"/>
    <n v="2"/>
    <n v="7459"/>
    <n v="0.45"/>
    <s v="532 Main St"/>
    <x v="3"/>
    <s v="TRK54059198"/>
    <x v="2"/>
    <n v="5"/>
    <x v="0"/>
    <n v="14918"/>
    <n v="6713.1"/>
    <n v="8204.9"/>
  </r>
  <r>
    <s v="ORD200331"/>
    <x v="288"/>
    <s v="C78724"/>
    <x v="4"/>
    <n v="3"/>
    <n v="6387"/>
    <n v="0.36"/>
    <s v="187 Main St"/>
    <x v="1"/>
    <s v="TRK25703134"/>
    <x v="1"/>
    <n v="7"/>
    <x v="3"/>
    <n v="19161"/>
    <n v="6897.96"/>
    <n v="12263.04"/>
  </r>
  <r>
    <s v="ORD200332"/>
    <x v="289"/>
    <s v="C26163"/>
    <x v="6"/>
    <n v="3"/>
    <n v="2225"/>
    <n v="0.32"/>
    <s v="607 Main St"/>
    <x v="0"/>
    <s v="TRK67499316"/>
    <x v="2"/>
    <n v="9"/>
    <x v="4"/>
    <n v="6675"/>
    <n v="2136"/>
    <n v="4539"/>
  </r>
  <r>
    <s v="ORD200333"/>
    <x v="162"/>
    <s v="C87124"/>
    <x v="1"/>
    <n v="2"/>
    <n v="16139"/>
    <n v="0.04"/>
    <s v="818 Main St"/>
    <x v="2"/>
    <s v="TRK52086740"/>
    <x v="2"/>
    <n v="5"/>
    <x v="0"/>
    <n v="32278"/>
    <n v="1291.1200000000001"/>
    <n v="30986.880000000001"/>
  </r>
  <r>
    <s v="ORD200334"/>
    <x v="290"/>
    <s v="C90348"/>
    <x v="3"/>
    <n v="1"/>
    <n v="44927"/>
    <n v="0.09"/>
    <s v="728 Main St"/>
    <x v="1"/>
    <s v="TRK20635777"/>
    <x v="1"/>
    <n v="7"/>
    <x v="3"/>
    <n v="44927"/>
    <n v="4043.43"/>
    <n v="40883.57"/>
  </r>
  <r>
    <s v="ORD200335"/>
    <x v="291"/>
    <s v="C58721"/>
    <x v="2"/>
    <n v="3"/>
    <n v="11302"/>
    <n v="0.21"/>
    <s v="978 Main St"/>
    <x v="3"/>
    <s v="TRK34801199"/>
    <x v="0"/>
    <n v="4"/>
    <x v="2"/>
    <n v="33906"/>
    <n v="7120.2599999999993"/>
    <n v="26785.74"/>
  </r>
  <r>
    <s v="ORD200336"/>
    <x v="10"/>
    <s v="C88174"/>
    <x v="5"/>
    <n v="2"/>
    <n v="35700"/>
    <n v="0.49"/>
    <s v="441 Main St"/>
    <x v="0"/>
    <s v="TRK10143345"/>
    <x v="2"/>
    <n v="4"/>
    <x v="0"/>
    <n v="71400"/>
    <n v="34986"/>
    <n v="36414"/>
  </r>
  <r>
    <s v="ORD200337"/>
    <x v="292"/>
    <s v="C77763"/>
    <x v="2"/>
    <n v="2"/>
    <n v="8800"/>
    <n v="0.17"/>
    <s v="599 Main St"/>
    <x v="0"/>
    <s v="TRK66980447"/>
    <x v="2"/>
    <n v="8"/>
    <x v="2"/>
    <n v="17600"/>
    <n v="2992"/>
    <n v="14608"/>
  </r>
  <r>
    <s v="ORD200338"/>
    <x v="293"/>
    <s v="C53627"/>
    <x v="1"/>
    <n v="1"/>
    <n v="29356"/>
    <n v="0.31"/>
    <s v="704 Main St"/>
    <x v="0"/>
    <s v="TRK64112352"/>
    <x v="0"/>
    <n v="10"/>
    <x v="1"/>
    <n v="29356"/>
    <n v="9100.36"/>
    <n v="20255.64"/>
  </r>
  <r>
    <s v="ORD200339"/>
    <x v="294"/>
    <s v="C84563"/>
    <x v="4"/>
    <n v="2"/>
    <n v="8499"/>
    <n v="0.49"/>
    <s v="398 Main St"/>
    <x v="1"/>
    <s v="TRK62422797"/>
    <x v="2"/>
    <n v="3"/>
    <x v="0"/>
    <n v="16998"/>
    <n v="8329.02"/>
    <n v="8668.98"/>
  </r>
  <r>
    <s v="ORD200340"/>
    <x v="295"/>
    <s v="C76207"/>
    <x v="5"/>
    <n v="2"/>
    <n v="47390"/>
    <n v="0.13"/>
    <s v="826 Main St"/>
    <x v="4"/>
    <s v="TRK25569378"/>
    <x v="0"/>
    <n v="8"/>
    <x v="2"/>
    <n v="94780"/>
    <n v="12321.4"/>
    <n v="82458.600000000006"/>
  </r>
  <r>
    <s v="ORD200341"/>
    <x v="296"/>
    <s v="C94671"/>
    <x v="2"/>
    <n v="2"/>
    <n v="9529"/>
    <n v="0.08"/>
    <s v="293 Main St"/>
    <x v="3"/>
    <s v="TRK61357272"/>
    <x v="0"/>
    <n v="5"/>
    <x v="2"/>
    <n v="19058"/>
    <n v="1524.64"/>
    <n v="17533.36"/>
  </r>
  <r>
    <s v="ORD200342"/>
    <x v="53"/>
    <s v="C69994"/>
    <x v="0"/>
    <n v="2"/>
    <n v="9741"/>
    <n v="0.27"/>
    <s v="619 Main St"/>
    <x v="3"/>
    <s v="TRK95935805"/>
    <x v="0"/>
    <n v="5"/>
    <x v="1"/>
    <n v="19482"/>
    <n v="5260.14"/>
    <n v="14221.86"/>
  </r>
  <r>
    <s v="ORD200343"/>
    <x v="297"/>
    <s v="C64638"/>
    <x v="4"/>
    <n v="3"/>
    <n v="9206"/>
    <n v="0.28000000000000003"/>
    <s v="919 Main St"/>
    <x v="0"/>
    <s v="TRK64087938"/>
    <x v="2"/>
    <n v="3"/>
    <x v="3"/>
    <n v="27618"/>
    <n v="7733.0400000000009"/>
    <n v="19884.96"/>
  </r>
  <r>
    <s v="ORD200344"/>
    <x v="298"/>
    <s v="C95623"/>
    <x v="2"/>
    <n v="2"/>
    <n v="13084"/>
    <n v="0.46"/>
    <s v="248 Main St"/>
    <x v="1"/>
    <s v="TRK67558189"/>
    <x v="0"/>
    <n v="3"/>
    <x v="0"/>
    <n v="26168"/>
    <n v="12037.28"/>
    <n v="14130.72"/>
  </r>
  <r>
    <s v="ORD200345"/>
    <x v="173"/>
    <s v="C24751"/>
    <x v="2"/>
    <n v="3"/>
    <n v="18777"/>
    <n v="0.01"/>
    <s v="259 Main St"/>
    <x v="3"/>
    <s v="TRK37285406"/>
    <x v="0"/>
    <n v="10"/>
    <x v="1"/>
    <n v="56331"/>
    <n v="563.31000000000006"/>
    <n v="55767.69"/>
  </r>
  <r>
    <s v="ORD200346"/>
    <x v="299"/>
    <s v="C31764"/>
    <x v="2"/>
    <n v="3"/>
    <n v="6989"/>
    <n v="0.2"/>
    <s v="876 Main St"/>
    <x v="4"/>
    <s v="TRK44680433"/>
    <x v="2"/>
    <n v="6"/>
    <x v="1"/>
    <n v="20967"/>
    <n v="4193.4000000000005"/>
    <n v="16773.599999999999"/>
  </r>
  <r>
    <s v="ORD200347"/>
    <x v="300"/>
    <s v="C83556"/>
    <x v="4"/>
    <n v="2"/>
    <n v="8673"/>
    <n v="0.16"/>
    <s v="380 Main St"/>
    <x v="2"/>
    <s v="TRK21109187"/>
    <x v="2"/>
    <n v="5"/>
    <x v="4"/>
    <n v="17346"/>
    <n v="2775.36"/>
    <n v="14570.64"/>
  </r>
  <r>
    <s v="ORD200348"/>
    <x v="206"/>
    <s v="C24369"/>
    <x v="5"/>
    <n v="2"/>
    <n v="56375"/>
    <n v="0.28999999999999998"/>
    <s v="885 Main St"/>
    <x v="0"/>
    <s v="TRK72633998"/>
    <x v="2"/>
    <n v="7"/>
    <x v="2"/>
    <n v="112750"/>
    <n v="32697.499999999996"/>
    <n v="80052.5"/>
  </r>
  <r>
    <s v="ORD200349"/>
    <x v="115"/>
    <s v="C39648"/>
    <x v="3"/>
    <n v="2"/>
    <n v="47338"/>
    <n v="0"/>
    <s v="824 Main St"/>
    <x v="3"/>
    <s v="TRK56016905"/>
    <x v="1"/>
    <n v="2"/>
    <x v="4"/>
    <n v="94676"/>
    <n v="0"/>
    <n v="94676"/>
  </r>
  <r>
    <s v="ORD200350"/>
    <x v="301"/>
    <s v="C13296"/>
    <x v="3"/>
    <n v="3"/>
    <n v="34617"/>
    <n v="0.36"/>
    <s v="495 Main St"/>
    <x v="1"/>
    <s v="TRK60127216"/>
    <x v="0"/>
    <n v="6"/>
    <x v="0"/>
    <n v="103851"/>
    <n v="37386.36"/>
    <n v="66464.639999999999"/>
  </r>
  <r>
    <s v="ORD200351"/>
    <x v="302"/>
    <s v="C94248"/>
    <x v="5"/>
    <n v="2"/>
    <n v="73804"/>
    <n v="0.24"/>
    <s v="494 Main St"/>
    <x v="0"/>
    <s v="TRK89406816"/>
    <x v="1"/>
    <n v="4"/>
    <x v="0"/>
    <n v="147608"/>
    <n v="35425.919999999998"/>
    <n v="112182.08"/>
  </r>
  <r>
    <s v="ORD200352"/>
    <x v="303"/>
    <s v="C26637"/>
    <x v="3"/>
    <n v="2"/>
    <n v="48450"/>
    <n v="0.35"/>
    <s v="995 Main St"/>
    <x v="0"/>
    <s v="TRK59546992"/>
    <x v="2"/>
    <n v="8"/>
    <x v="0"/>
    <n v="96900"/>
    <n v="33915"/>
    <n v="62985"/>
  </r>
  <r>
    <s v="ORD200353"/>
    <x v="210"/>
    <s v="C16012"/>
    <x v="2"/>
    <n v="1"/>
    <n v="8660"/>
    <n v="0.22"/>
    <s v="171 Main St"/>
    <x v="1"/>
    <s v="TRK15195225"/>
    <x v="1"/>
    <n v="5"/>
    <x v="4"/>
    <n v="8660"/>
    <n v="1905.2"/>
    <n v="6754.8"/>
  </r>
  <r>
    <s v="ORD200354"/>
    <x v="304"/>
    <s v="C31772"/>
    <x v="1"/>
    <n v="1"/>
    <n v="15589"/>
    <n v="0.24"/>
    <s v="992 Main St"/>
    <x v="0"/>
    <s v="TRK11970357"/>
    <x v="0"/>
    <n v="4"/>
    <x v="0"/>
    <n v="15589"/>
    <n v="3741.3599999999997"/>
    <n v="11847.64"/>
  </r>
  <r>
    <s v="ORD200355"/>
    <x v="305"/>
    <s v="C18353"/>
    <x v="2"/>
    <n v="3"/>
    <n v="17531"/>
    <n v="0.45"/>
    <s v="677 Main St"/>
    <x v="2"/>
    <s v="TRK78766533"/>
    <x v="2"/>
    <n v="4"/>
    <x v="1"/>
    <n v="52593"/>
    <n v="23666.850000000002"/>
    <n v="28926.149999999998"/>
  </r>
  <r>
    <s v="ORD200356"/>
    <x v="306"/>
    <s v="C26966"/>
    <x v="4"/>
    <n v="3"/>
    <n v="8502"/>
    <n v="0.11"/>
    <s v="907 Main St"/>
    <x v="3"/>
    <s v="TRK83889574"/>
    <x v="2"/>
    <n v="10"/>
    <x v="0"/>
    <n v="25506"/>
    <n v="2805.66"/>
    <n v="22700.34"/>
  </r>
  <r>
    <s v="ORD200357"/>
    <x v="307"/>
    <s v="C74982"/>
    <x v="5"/>
    <n v="2"/>
    <n v="77544"/>
    <n v="0.11"/>
    <s v="398 Main St"/>
    <x v="0"/>
    <s v="TRK98700702"/>
    <x v="1"/>
    <n v="8"/>
    <x v="0"/>
    <n v="155088"/>
    <n v="17059.68"/>
    <n v="138028.32"/>
  </r>
  <r>
    <s v="ORD200358"/>
    <x v="158"/>
    <s v="C70633"/>
    <x v="2"/>
    <n v="2"/>
    <n v="1368"/>
    <n v="0.28000000000000003"/>
    <s v="747 Main St"/>
    <x v="1"/>
    <s v="TRK82540521"/>
    <x v="2"/>
    <n v="3"/>
    <x v="4"/>
    <n v="2736"/>
    <n v="766.08"/>
    <n v="1969.92"/>
  </r>
  <r>
    <s v="ORD200359"/>
    <x v="308"/>
    <s v="C95643"/>
    <x v="6"/>
    <n v="1"/>
    <n v="5022"/>
    <n v="0.33"/>
    <s v="303 Main St"/>
    <x v="0"/>
    <s v="TRK23286689"/>
    <x v="1"/>
    <n v="5"/>
    <x v="1"/>
    <n v="5022"/>
    <n v="1657.26"/>
    <n v="3364.74"/>
  </r>
  <r>
    <s v="ORD200360"/>
    <x v="309"/>
    <s v="C53810"/>
    <x v="1"/>
    <n v="3"/>
    <n v="30129"/>
    <n v="0.18"/>
    <s v="779 Main St"/>
    <x v="4"/>
    <s v="TRK34630612"/>
    <x v="2"/>
    <n v="8"/>
    <x v="0"/>
    <n v="90387"/>
    <n v="16269.66"/>
    <n v="74117.34"/>
  </r>
  <r>
    <s v="ORD200361"/>
    <x v="310"/>
    <s v="C53464"/>
    <x v="4"/>
    <n v="2"/>
    <n v="7375"/>
    <n v="0.26"/>
    <s v="197 Main St"/>
    <x v="2"/>
    <s v="TRK32743531"/>
    <x v="1"/>
    <n v="9"/>
    <x v="3"/>
    <n v="14750"/>
    <n v="3835"/>
    <n v="10915"/>
  </r>
  <r>
    <s v="ORD200362"/>
    <x v="78"/>
    <s v="C53697"/>
    <x v="0"/>
    <n v="3"/>
    <n v="8324"/>
    <n v="0.11"/>
    <s v="312 Main St"/>
    <x v="4"/>
    <s v="TRK60476656"/>
    <x v="2"/>
    <n v="5"/>
    <x v="0"/>
    <n v="24972"/>
    <n v="2746.92"/>
    <n v="22225.08"/>
  </r>
  <r>
    <s v="ORD200363"/>
    <x v="75"/>
    <s v="C31668"/>
    <x v="5"/>
    <n v="3"/>
    <n v="51682"/>
    <n v="7.0000000000000007E-2"/>
    <s v="871 Main St"/>
    <x v="2"/>
    <s v="TRK42584392"/>
    <x v="2"/>
    <n v="6"/>
    <x v="2"/>
    <n v="155046"/>
    <n v="10853.220000000001"/>
    <n v="144192.78"/>
  </r>
  <r>
    <s v="ORD200364"/>
    <x v="254"/>
    <s v="C85282"/>
    <x v="1"/>
    <n v="2"/>
    <n v="26749"/>
    <n v="0.12"/>
    <s v="740 Main St"/>
    <x v="4"/>
    <s v="TRK86767206"/>
    <x v="2"/>
    <n v="9"/>
    <x v="3"/>
    <n v="53498"/>
    <n v="6419.7599999999993"/>
    <n v="47078.239999999998"/>
  </r>
  <r>
    <s v="ORD200365"/>
    <x v="311"/>
    <s v="C56796"/>
    <x v="1"/>
    <n v="1"/>
    <n v="46422"/>
    <n v="0.46"/>
    <s v="607 Main St"/>
    <x v="2"/>
    <s v="TRK74263180"/>
    <x v="0"/>
    <n v="4"/>
    <x v="1"/>
    <n v="46422"/>
    <n v="21354.120000000003"/>
    <n v="25067.879999999997"/>
  </r>
  <r>
    <s v="ORD200366"/>
    <x v="312"/>
    <s v="C95213"/>
    <x v="4"/>
    <n v="1"/>
    <n v="6853"/>
    <n v="0.4"/>
    <s v="603 Main St"/>
    <x v="0"/>
    <s v="TRK40630538"/>
    <x v="2"/>
    <n v="8"/>
    <x v="1"/>
    <n v="6853"/>
    <n v="2741.2000000000003"/>
    <n v="4111.7999999999993"/>
  </r>
  <r>
    <s v="ORD200367"/>
    <x v="313"/>
    <s v="C13108"/>
    <x v="5"/>
    <n v="2"/>
    <n v="34177"/>
    <n v="7.0000000000000007E-2"/>
    <s v="712 Main St"/>
    <x v="3"/>
    <s v="TRK82284400"/>
    <x v="2"/>
    <n v="10"/>
    <x v="0"/>
    <n v="68354"/>
    <n v="4784.7800000000007"/>
    <n v="63569.22"/>
  </r>
  <r>
    <s v="ORD200368"/>
    <x v="31"/>
    <s v="C85322"/>
    <x v="0"/>
    <n v="3"/>
    <n v="5757"/>
    <n v="0.02"/>
    <s v="403 Main St"/>
    <x v="2"/>
    <s v="TRK89728869"/>
    <x v="1"/>
    <n v="6"/>
    <x v="4"/>
    <n v="17271"/>
    <n v="345.42"/>
    <n v="16925.580000000002"/>
  </r>
  <r>
    <s v="ORD200369"/>
    <x v="70"/>
    <s v="C43545"/>
    <x v="0"/>
    <n v="1"/>
    <n v="6107"/>
    <n v="0.05"/>
    <s v="216 Main St"/>
    <x v="3"/>
    <s v="TRK73937402"/>
    <x v="2"/>
    <n v="9"/>
    <x v="2"/>
    <n v="6107"/>
    <n v="305.35000000000002"/>
    <n v="5801.65"/>
  </r>
  <r>
    <s v="ORD200370"/>
    <x v="120"/>
    <s v="C80649"/>
    <x v="1"/>
    <n v="3"/>
    <n v="18943"/>
    <n v="0.15"/>
    <s v="870 Main St"/>
    <x v="1"/>
    <s v="TRK41143313"/>
    <x v="1"/>
    <n v="4"/>
    <x v="3"/>
    <n v="56829"/>
    <n v="8524.35"/>
    <n v="48304.65"/>
  </r>
  <r>
    <s v="ORD200371"/>
    <x v="314"/>
    <s v="C59752"/>
    <x v="1"/>
    <n v="3"/>
    <n v="47921"/>
    <n v="0.41"/>
    <s v="179 Main St"/>
    <x v="3"/>
    <s v="TRK82229639"/>
    <x v="2"/>
    <n v="9"/>
    <x v="4"/>
    <n v="143763"/>
    <n v="58942.829999999994"/>
    <n v="84820.170000000013"/>
  </r>
  <r>
    <s v="ORD200372"/>
    <x v="311"/>
    <s v="C53645"/>
    <x v="3"/>
    <n v="2"/>
    <n v="33969"/>
    <n v="0.16"/>
    <s v="166 Main St"/>
    <x v="4"/>
    <s v="TRK12123939"/>
    <x v="0"/>
    <n v="4"/>
    <x v="1"/>
    <n v="67938"/>
    <n v="10870.08"/>
    <n v="57067.92"/>
  </r>
  <r>
    <s v="ORD200373"/>
    <x v="315"/>
    <s v="C60178"/>
    <x v="5"/>
    <n v="3"/>
    <n v="74690"/>
    <n v="0.09"/>
    <s v="969 Main St"/>
    <x v="4"/>
    <s v="TRK84505143"/>
    <x v="2"/>
    <n v="4"/>
    <x v="0"/>
    <n v="224070"/>
    <n v="20166.3"/>
    <n v="203903.7"/>
  </r>
  <r>
    <s v="ORD200374"/>
    <x v="316"/>
    <s v="C20286"/>
    <x v="0"/>
    <n v="1"/>
    <n v="7790"/>
    <n v="0.2"/>
    <s v="129 Main St"/>
    <x v="3"/>
    <s v="TRK67648338"/>
    <x v="2"/>
    <n v="1"/>
    <x v="0"/>
    <n v="7790"/>
    <n v="1558"/>
    <n v="6232"/>
  </r>
  <r>
    <s v="ORD200375"/>
    <x v="317"/>
    <s v="C87547"/>
    <x v="0"/>
    <n v="2"/>
    <n v="7741"/>
    <n v="0.06"/>
    <s v="400 Main St"/>
    <x v="1"/>
    <s v="TRK71027262"/>
    <x v="0"/>
    <n v="8"/>
    <x v="3"/>
    <n v="15482"/>
    <n v="928.92"/>
    <n v="14553.08"/>
  </r>
  <r>
    <s v="ORD200376"/>
    <x v="318"/>
    <s v="C64549"/>
    <x v="0"/>
    <n v="1"/>
    <n v="5191"/>
    <n v="0.24"/>
    <s v="341 Main St"/>
    <x v="0"/>
    <s v="TRK20788231"/>
    <x v="2"/>
    <n v="6"/>
    <x v="3"/>
    <n v="5191"/>
    <n v="1245.8399999999999"/>
    <n v="3945.16"/>
  </r>
  <r>
    <s v="ORD200377"/>
    <x v="319"/>
    <s v="C24884"/>
    <x v="0"/>
    <n v="1"/>
    <n v="7279"/>
    <n v="0.34"/>
    <s v="625 Main St"/>
    <x v="1"/>
    <s v="TRK44538419"/>
    <x v="2"/>
    <n v="5"/>
    <x v="0"/>
    <n v="7279"/>
    <n v="2474.86"/>
    <n v="4804.1399999999994"/>
  </r>
  <r>
    <s v="ORD200378"/>
    <x v="320"/>
    <s v="C62666"/>
    <x v="3"/>
    <n v="3"/>
    <n v="24501"/>
    <n v="0.18"/>
    <s v="148 Main St"/>
    <x v="2"/>
    <s v="TRK91029390"/>
    <x v="2"/>
    <n v="8"/>
    <x v="0"/>
    <n v="73503"/>
    <n v="13230.539999999999"/>
    <n v="60272.46"/>
  </r>
  <r>
    <s v="ORD200379"/>
    <x v="321"/>
    <s v="C47284"/>
    <x v="1"/>
    <n v="3"/>
    <n v="22578"/>
    <n v="0.09"/>
    <s v="500 Main St"/>
    <x v="1"/>
    <s v="TRK85756094"/>
    <x v="0"/>
    <n v="6"/>
    <x v="4"/>
    <n v="67734"/>
    <n v="6096.0599999999995"/>
    <n v="61637.94"/>
  </r>
  <r>
    <s v="ORD200380"/>
    <x v="322"/>
    <s v="C35355"/>
    <x v="4"/>
    <n v="2"/>
    <n v="6572"/>
    <n v="0.23"/>
    <s v="127 Main St"/>
    <x v="4"/>
    <s v="TRK52935059"/>
    <x v="2"/>
    <n v="5"/>
    <x v="0"/>
    <n v="13144"/>
    <n v="3023.1200000000003"/>
    <n v="10120.879999999999"/>
  </r>
  <r>
    <s v="ORD200381"/>
    <x v="323"/>
    <s v="C29467"/>
    <x v="3"/>
    <n v="2"/>
    <n v="25163"/>
    <n v="0.38"/>
    <s v="223 Main St"/>
    <x v="2"/>
    <s v="TRK98103385"/>
    <x v="1"/>
    <n v="1"/>
    <x v="0"/>
    <n v="50326"/>
    <n v="19123.88"/>
    <n v="31202.12"/>
  </r>
  <r>
    <s v="ORD200382"/>
    <x v="324"/>
    <s v="C26718"/>
    <x v="4"/>
    <n v="3"/>
    <n v="6738"/>
    <n v="0.04"/>
    <s v="272 Main St"/>
    <x v="0"/>
    <s v="TRK91702525"/>
    <x v="0"/>
    <n v="8"/>
    <x v="4"/>
    <n v="20214"/>
    <n v="808.56000000000006"/>
    <n v="19405.439999999999"/>
  </r>
  <r>
    <s v="ORD200383"/>
    <x v="325"/>
    <s v="C18944"/>
    <x v="3"/>
    <n v="1"/>
    <n v="48659"/>
    <n v="0.04"/>
    <s v="837 Main St"/>
    <x v="2"/>
    <s v="TRK45275439"/>
    <x v="2"/>
    <n v="7"/>
    <x v="2"/>
    <n v="48659"/>
    <n v="1946.3600000000001"/>
    <n v="46712.639999999999"/>
  </r>
  <r>
    <s v="ORD200384"/>
    <x v="167"/>
    <s v="C35628"/>
    <x v="3"/>
    <n v="3"/>
    <n v="27831"/>
    <n v="0.16"/>
    <s v="147 Main St"/>
    <x v="2"/>
    <s v="TRK45688220"/>
    <x v="0"/>
    <n v="4"/>
    <x v="3"/>
    <n v="83493"/>
    <n v="13358.880000000001"/>
    <n v="70134.12"/>
  </r>
  <r>
    <s v="ORD200385"/>
    <x v="150"/>
    <s v="C56851"/>
    <x v="3"/>
    <n v="2"/>
    <n v="20023"/>
    <n v="0.21"/>
    <s v="752 Main St"/>
    <x v="3"/>
    <s v="TRK65290904"/>
    <x v="1"/>
    <n v="6"/>
    <x v="3"/>
    <n v="40046"/>
    <n v="8409.66"/>
    <n v="31636.34"/>
  </r>
  <r>
    <s v="ORD200386"/>
    <x v="200"/>
    <s v="C12421"/>
    <x v="2"/>
    <n v="3"/>
    <n v="1407"/>
    <n v="0.11"/>
    <s v="373 Main St"/>
    <x v="1"/>
    <s v="TRK32588504"/>
    <x v="0"/>
    <n v="4"/>
    <x v="2"/>
    <n v="4221"/>
    <n v="464.31"/>
    <n v="3756.69"/>
  </r>
  <r>
    <s v="ORD200387"/>
    <x v="326"/>
    <s v="C25316"/>
    <x v="4"/>
    <n v="3"/>
    <n v="5217"/>
    <n v="0.01"/>
    <s v="904 Main St"/>
    <x v="2"/>
    <s v="TRK55423551"/>
    <x v="0"/>
    <n v="3"/>
    <x v="4"/>
    <n v="15651"/>
    <n v="156.51"/>
    <n v="15494.49"/>
  </r>
  <r>
    <s v="ORD200388"/>
    <x v="153"/>
    <s v="C22657"/>
    <x v="4"/>
    <n v="2"/>
    <n v="7854"/>
    <n v="0.11"/>
    <s v="152 Main St"/>
    <x v="4"/>
    <s v="TRK49157047"/>
    <x v="2"/>
    <n v="7"/>
    <x v="3"/>
    <n v="15708"/>
    <n v="1727.88"/>
    <n v="13980.119999999999"/>
  </r>
  <r>
    <s v="ORD200389"/>
    <x v="327"/>
    <s v="C29703"/>
    <x v="6"/>
    <n v="2"/>
    <n v="1790"/>
    <n v="0.22"/>
    <s v="558 Main St"/>
    <x v="4"/>
    <s v="TRK40543461"/>
    <x v="0"/>
    <n v="7"/>
    <x v="1"/>
    <n v="3580"/>
    <n v="787.6"/>
    <n v="2792.4"/>
  </r>
  <r>
    <s v="ORD200390"/>
    <x v="328"/>
    <s v="C55996"/>
    <x v="4"/>
    <n v="1"/>
    <n v="5934"/>
    <n v="0.04"/>
    <s v="885 Main St"/>
    <x v="4"/>
    <s v="TRK30547638"/>
    <x v="1"/>
    <n v="10"/>
    <x v="4"/>
    <n v="5934"/>
    <n v="237.36"/>
    <n v="5696.64"/>
  </r>
  <r>
    <s v="ORD200391"/>
    <x v="317"/>
    <s v="C60037"/>
    <x v="5"/>
    <n v="2"/>
    <n v="28877"/>
    <n v="0.36"/>
    <s v="516 Main St"/>
    <x v="0"/>
    <s v="TRK82009557"/>
    <x v="2"/>
    <n v="3"/>
    <x v="1"/>
    <n v="57754"/>
    <n v="20791.439999999999"/>
    <n v="36962.559999999998"/>
  </r>
  <r>
    <s v="ORD200392"/>
    <x v="329"/>
    <s v="C95100"/>
    <x v="1"/>
    <n v="3"/>
    <n v="46216"/>
    <n v="0.28000000000000003"/>
    <s v="197 Main St"/>
    <x v="1"/>
    <s v="TRK47366265"/>
    <x v="1"/>
    <n v="1"/>
    <x v="2"/>
    <n v="138648"/>
    <n v="38821.440000000002"/>
    <n v="99826.559999999998"/>
  </r>
  <r>
    <s v="ORD200393"/>
    <x v="330"/>
    <s v="C39906"/>
    <x v="4"/>
    <n v="3"/>
    <n v="7010"/>
    <n v="0.22"/>
    <s v="921 Main St"/>
    <x v="2"/>
    <s v="TRK24632134"/>
    <x v="1"/>
    <n v="3"/>
    <x v="4"/>
    <n v="21030"/>
    <n v="4626.6000000000004"/>
    <n v="16403.400000000001"/>
  </r>
  <r>
    <s v="ORD200394"/>
    <x v="176"/>
    <s v="C70148"/>
    <x v="6"/>
    <n v="3"/>
    <n v="4340"/>
    <n v="0.26"/>
    <s v="359 Main St"/>
    <x v="3"/>
    <s v="TRK34848650"/>
    <x v="0"/>
    <n v="10"/>
    <x v="3"/>
    <n v="13020"/>
    <n v="3385.2000000000003"/>
    <n v="9634.7999999999993"/>
  </r>
  <r>
    <s v="ORD200395"/>
    <x v="331"/>
    <s v="C30010"/>
    <x v="1"/>
    <n v="3"/>
    <n v="20179"/>
    <n v="0.33"/>
    <s v="830 Main St"/>
    <x v="3"/>
    <s v="TRK35386084"/>
    <x v="1"/>
    <n v="7"/>
    <x v="1"/>
    <n v="60537"/>
    <n v="19977.21"/>
    <n v="40559.79"/>
  </r>
  <r>
    <s v="ORD200396"/>
    <x v="142"/>
    <s v="C99217"/>
    <x v="2"/>
    <n v="1"/>
    <n v="1127"/>
    <n v="0.5"/>
    <s v="778 Main St"/>
    <x v="1"/>
    <s v="TRK82004594"/>
    <x v="0"/>
    <n v="10"/>
    <x v="2"/>
    <n v="1127"/>
    <n v="563.5"/>
    <n v="563.5"/>
  </r>
  <r>
    <s v="ORD200397"/>
    <x v="332"/>
    <s v="C30184"/>
    <x v="0"/>
    <n v="2"/>
    <n v="4986"/>
    <n v="0.39"/>
    <s v="987 Main St"/>
    <x v="1"/>
    <s v="TRK86674704"/>
    <x v="0"/>
    <n v="1"/>
    <x v="1"/>
    <n v="9972"/>
    <n v="3889.08"/>
    <n v="6082.92"/>
  </r>
  <r>
    <s v="ORD200398"/>
    <x v="333"/>
    <s v="C50275"/>
    <x v="1"/>
    <n v="2"/>
    <n v="36470"/>
    <n v="0.27"/>
    <s v="729 Main St"/>
    <x v="3"/>
    <s v="TRK98925264"/>
    <x v="0"/>
    <n v="7"/>
    <x v="0"/>
    <n v="72940"/>
    <n v="19693.800000000003"/>
    <n v="53246.2"/>
  </r>
  <r>
    <s v="ORD200399"/>
    <x v="334"/>
    <s v="C64641"/>
    <x v="2"/>
    <n v="1"/>
    <n v="15182"/>
    <n v="0.39"/>
    <s v="319 Main St"/>
    <x v="0"/>
    <s v="TRK32012588"/>
    <x v="1"/>
    <n v="5"/>
    <x v="3"/>
    <n v="15182"/>
    <n v="5920.9800000000005"/>
    <n v="9261.02"/>
  </r>
  <r>
    <s v="ORD200400"/>
    <x v="335"/>
    <s v="C56266"/>
    <x v="6"/>
    <n v="2"/>
    <n v="4235"/>
    <n v="0.24"/>
    <s v="304 Main St"/>
    <x v="0"/>
    <s v="TRK60088901"/>
    <x v="0"/>
    <n v="9"/>
    <x v="0"/>
    <n v="8470"/>
    <n v="2032.8"/>
    <n v="6437.2"/>
  </r>
  <r>
    <s v="ORD200401"/>
    <x v="23"/>
    <s v="C98635"/>
    <x v="4"/>
    <n v="1"/>
    <n v="8175"/>
    <n v="0.16"/>
    <s v="197 Main St"/>
    <x v="0"/>
    <s v="TRK14225465"/>
    <x v="1"/>
    <n v="6"/>
    <x v="1"/>
    <n v="8175"/>
    <n v="1308"/>
    <n v="6867"/>
  </r>
  <r>
    <s v="ORD200402"/>
    <x v="336"/>
    <s v="C83026"/>
    <x v="4"/>
    <n v="3"/>
    <n v="8617"/>
    <n v="0.13"/>
    <s v="858 Main St"/>
    <x v="3"/>
    <s v="TRK79746259"/>
    <x v="0"/>
    <n v="5"/>
    <x v="1"/>
    <n v="25851"/>
    <n v="3360.63"/>
    <n v="22490.37"/>
  </r>
  <r>
    <s v="ORD200403"/>
    <x v="337"/>
    <s v="C28893"/>
    <x v="2"/>
    <n v="1"/>
    <n v="15384"/>
    <n v="0.2"/>
    <s v="740 Main St"/>
    <x v="1"/>
    <s v="TRK98333066"/>
    <x v="0"/>
    <n v="1"/>
    <x v="1"/>
    <n v="15384"/>
    <n v="3076.8"/>
    <n v="12307.2"/>
  </r>
  <r>
    <s v="ORD200404"/>
    <x v="338"/>
    <s v="C45482"/>
    <x v="0"/>
    <n v="2"/>
    <n v="9034"/>
    <n v="0"/>
    <s v="440 Main St"/>
    <x v="4"/>
    <s v="TRK54571699"/>
    <x v="1"/>
    <n v="6"/>
    <x v="0"/>
    <n v="18068"/>
    <n v="0"/>
    <n v="18068"/>
  </r>
  <r>
    <s v="ORD200405"/>
    <x v="281"/>
    <s v="C97774"/>
    <x v="0"/>
    <n v="3"/>
    <n v="7093"/>
    <n v="0.09"/>
    <s v="603 Main St"/>
    <x v="1"/>
    <s v="TRK64664424"/>
    <x v="0"/>
    <n v="7"/>
    <x v="2"/>
    <n v="21279"/>
    <n v="1915.11"/>
    <n v="19363.89"/>
  </r>
  <r>
    <s v="ORD200406"/>
    <x v="339"/>
    <s v="C11657"/>
    <x v="2"/>
    <n v="3"/>
    <n v="11599"/>
    <n v="0.06"/>
    <s v="572 Main St"/>
    <x v="4"/>
    <s v="TRK50284486"/>
    <x v="0"/>
    <n v="9"/>
    <x v="4"/>
    <n v="34797"/>
    <n v="2087.8199999999997"/>
    <n v="32709.18"/>
  </r>
  <r>
    <s v="ORD200407"/>
    <x v="340"/>
    <s v="C85993"/>
    <x v="2"/>
    <n v="1"/>
    <n v="13119"/>
    <n v="0.48"/>
    <s v="250 Main St"/>
    <x v="4"/>
    <s v="TRK72547640"/>
    <x v="0"/>
    <n v="8"/>
    <x v="0"/>
    <n v="13119"/>
    <n v="6297.12"/>
    <n v="6821.88"/>
  </r>
  <r>
    <s v="ORD200408"/>
    <x v="341"/>
    <s v="C11906"/>
    <x v="4"/>
    <n v="1"/>
    <n v="6790"/>
    <n v="0.03"/>
    <s v="536 Main St"/>
    <x v="1"/>
    <s v="TRK31140158"/>
    <x v="2"/>
    <n v="6"/>
    <x v="4"/>
    <n v="6790"/>
    <n v="203.7"/>
    <n v="6586.3"/>
  </r>
  <r>
    <s v="ORD200409"/>
    <x v="342"/>
    <s v="C45187"/>
    <x v="6"/>
    <n v="2"/>
    <n v="1019"/>
    <n v="0.25"/>
    <s v="767 Main St"/>
    <x v="1"/>
    <s v="TRK12320793"/>
    <x v="1"/>
    <n v="9"/>
    <x v="4"/>
    <n v="2038"/>
    <n v="509.5"/>
    <n v="1528.5"/>
  </r>
  <r>
    <s v="ORD200410"/>
    <x v="343"/>
    <s v="C37375"/>
    <x v="2"/>
    <n v="2"/>
    <n v="16843"/>
    <n v="0.46"/>
    <s v="184 Main St"/>
    <x v="0"/>
    <s v="TRK52470162"/>
    <x v="0"/>
    <n v="5"/>
    <x v="2"/>
    <n v="33686"/>
    <n v="15495.560000000001"/>
    <n v="18190.439999999999"/>
  </r>
  <r>
    <s v="ORD200411"/>
    <x v="83"/>
    <s v="C66567"/>
    <x v="6"/>
    <n v="1"/>
    <n v="8218"/>
    <n v="0.3"/>
    <s v="981 Main St"/>
    <x v="1"/>
    <s v="TRK21174822"/>
    <x v="0"/>
    <n v="5"/>
    <x v="3"/>
    <n v="8218"/>
    <n v="2465.4"/>
    <n v="5752.6"/>
  </r>
  <r>
    <s v="ORD200412"/>
    <x v="344"/>
    <s v="C42451"/>
    <x v="2"/>
    <n v="2"/>
    <n v="12381"/>
    <n v="0.25"/>
    <s v="246 Main St"/>
    <x v="2"/>
    <s v="TRK31313343"/>
    <x v="2"/>
    <n v="10"/>
    <x v="3"/>
    <n v="24762"/>
    <n v="6190.5"/>
    <n v="18571.5"/>
  </r>
  <r>
    <s v="ORD200413"/>
    <x v="345"/>
    <s v="C13923"/>
    <x v="2"/>
    <n v="1"/>
    <n v="12169"/>
    <n v="0.37"/>
    <s v="123 Main St"/>
    <x v="1"/>
    <s v="TRK87598790"/>
    <x v="1"/>
    <n v="6"/>
    <x v="2"/>
    <n v="12169"/>
    <n v="4502.53"/>
    <n v="7666.47"/>
  </r>
  <r>
    <s v="ORD200414"/>
    <x v="346"/>
    <s v="C11829"/>
    <x v="6"/>
    <n v="1"/>
    <n v="8157"/>
    <n v="0.18"/>
    <s v="797 Main St"/>
    <x v="4"/>
    <s v="TRK84229257"/>
    <x v="1"/>
    <n v="4"/>
    <x v="3"/>
    <n v="8157"/>
    <n v="1468.26"/>
    <n v="6688.74"/>
  </r>
  <r>
    <s v="ORD200415"/>
    <x v="161"/>
    <s v="C62169"/>
    <x v="3"/>
    <n v="3"/>
    <n v="23083"/>
    <n v="0.1"/>
    <s v="655 Main St"/>
    <x v="3"/>
    <s v="TRK64558985"/>
    <x v="0"/>
    <n v="5"/>
    <x v="3"/>
    <n v="69249"/>
    <n v="6924.9000000000005"/>
    <n v="62324.1"/>
  </r>
  <r>
    <s v="ORD200416"/>
    <x v="202"/>
    <s v="C20881"/>
    <x v="5"/>
    <n v="1"/>
    <n v="60900"/>
    <n v="0.42"/>
    <s v="652 Main St"/>
    <x v="3"/>
    <s v="TRK26263902"/>
    <x v="1"/>
    <n v="5"/>
    <x v="1"/>
    <n v="60900"/>
    <n v="25578"/>
    <n v="35322"/>
  </r>
  <r>
    <s v="ORD200417"/>
    <x v="347"/>
    <s v="C44492"/>
    <x v="5"/>
    <n v="2"/>
    <n v="62870"/>
    <n v="0.03"/>
    <s v="954 Main St"/>
    <x v="1"/>
    <s v="TRK51429869"/>
    <x v="1"/>
    <n v="5"/>
    <x v="4"/>
    <n v="125740"/>
    <n v="3772.2"/>
    <n v="121967.8"/>
  </r>
  <r>
    <s v="ORD200418"/>
    <x v="348"/>
    <s v="C74169"/>
    <x v="4"/>
    <n v="1"/>
    <n v="5683"/>
    <n v="0.4"/>
    <s v="862 Main St"/>
    <x v="1"/>
    <s v="TRK66144809"/>
    <x v="0"/>
    <n v="3"/>
    <x v="3"/>
    <n v="5683"/>
    <n v="2273.2000000000003"/>
    <n v="3409.7999999999997"/>
  </r>
  <r>
    <s v="ORD200419"/>
    <x v="349"/>
    <s v="C70999"/>
    <x v="2"/>
    <n v="2"/>
    <n v="13750"/>
    <n v="0.05"/>
    <s v="885 Main St"/>
    <x v="0"/>
    <s v="TRK75644156"/>
    <x v="2"/>
    <n v="6"/>
    <x v="0"/>
    <n v="27500"/>
    <n v="1375"/>
    <n v="26125"/>
  </r>
  <r>
    <s v="ORD200420"/>
    <x v="350"/>
    <s v="C11921"/>
    <x v="1"/>
    <n v="1"/>
    <n v="31909"/>
    <n v="0.31"/>
    <s v="439 Main St"/>
    <x v="0"/>
    <s v="TRK91362635"/>
    <x v="0"/>
    <n v="5"/>
    <x v="0"/>
    <n v="31909"/>
    <n v="9891.7899999999991"/>
    <n v="22017.21"/>
  </r>
  <r>
    <s v="ORD200421"/>
    <x v="3"/>
    <s v="C50683"/>
    <x v="3"/>
    <n v="2"/>
    <n v="34000"/>
    <n v="0.24"/>
    <s v="769 Main St"/>
    <x v="0"/>
    <s v="TRK53032122"/>
    <x v="0"/>
    <n v="5"/>
    <x v="2"/>
    <n v="68000"/>
    <n v="16320"/>
    <n v="51680"/>
  </r>
  <r>
    <s v="ORD200422"/>
    <x v="32"/>
    <s v="C76140"/>
    <x v="1"/>
    <n v="2"/>
    <n v="49112"/>
    <n v="0.5"/>
    <s v="914 Main St"/>
    <x v="3"/>
    <s v="TRK25861469"/>
    <x v="1"/>
    <n v="6"/>
    <x v="1"/>
    <n v="98224"/>
    <n v="49112"/>
    <n v="49112"/>
  </r>
  <r>
    <s v="ORD200423"/>
    <x v="351"/>
    <s v="C94311"/>
    <x v="4"/>
    <n v="2"/>
    <n v="7842"/>
    <n v="0.19"/>
    <s v="195 Main St"/>
    <x v="3"/>
    <s v="TRK97308771"/>
    <x v="1"/>
    <n v="6"/>
    <x v="4"/>
    <n v="15684"/>
    <n v="2979.96"/>
    <n v="12704.04"/>
  </r>
  <r>
    <s v="ORD200424"/>
    <x v="352"/>
    <s v="C49491"/>
    <x v="3"/>
    <n v="1"/>
    <n v="30584"/>
    <n v="0.48"/>
    <s v="339 Main St"/>
    <x v="4"/>
    <s v="TRK64012257"/>
    <x v="2"/>
    <n v="10"/>
    <x v="2"/>
    <n v="30584"/>
    <n v="14680.32"/>
    <n v="15903.68"/>
  </r>
  <r>
    <s v="ORD200425"/>
    <x v="338"/>
    <s v="C40648"/>
    <x v="5"/>
    <n v="2"/>
    <n v="55997"/>
    <n v="0.2"/>
    <s v="488 Main St"/>
    <x v="3"/>
    <s v="TRK25325993"/>
    <x v="0"/>
    <n v="5"/>
    <x v="2"/>
    <n v="111994"/>
    <n v="22398.800000000003"/>
    <n v="89595.199999999997"/>
  </r>
  <r>
    <s v="ORD200426"/>
    <x v="353"/>
    <s v="C40967"/>
    <x v="0"/>
    <n v="1"/>
    <n v="3517"/>
    <n v="0.34"/>
    <s v="315 Main St"/>
    <x v="4"/>
    <s v="TRK24839296"/>
    <x v="2"/>
    <n v="10"/>
    <x v="3"/>
    <n v="3517"/>
    <n v="1195.78"/>
    <n v="2321.2200000000003"/>
  </r>
  <r>
    <s v="ORD200427"/>
    <x v="144"/>
    <s v="C25406"/>
    <x v="6"/>
    <n v="3"/>
    <n v="8645"/>
    <n v="0.32"/>
    <s v="379 Main St"/>
    <x v="2"/>
    <s v="TRK70952564"/>
    <x v="2"/>
    <n v="3"/>
    <x v="0"/>
    <n v="25935"/>
    <n v="8299.2000000000007"/>
    <n v="17635.8"/>
  </r>
  <r>
    <s v="ORD200428"/>
    <x v="130"/>
    <s v="C77085"/>
    <x v="3"/>
    <n v="3"/>
    <n v="19093"/>
    <n v="0.04"/>
    <s v="895 Main St"/>
    <x v="1"/>
    <s v="TRK57227640"/>
    <x v="2"/>
    <n v="8"/>
    <x v="2"/>
    <n v="57279"/>
    <n v="2291.16"/>
    <n v="54987.839999999997"/>
  </r>
  <r>
    <s v="ORD200429"/>
    <x v="36"/>
    <s v="C38126"/>
    <x v="4"/>
    <n v="2"/>
    <n v="7759"/>
    <n v="0.37"/>
    <s v="522 Main St"/>
    <x v="2"/>
    <s v="TRK90838498"/>
    <x v="2"/>
    <n v="9"/>
    <x v="3"/>
    <n v="15518"/>
    <n v="5741.66"/>
    <n v="9776.34"/>
  </r>
  <r>
    <s v="ORD200430"/>
    <x v="323"/>
    <s v="C87448"/>
    <x v="1"/>
    <n v="3"/>
    <n v="35794"/>
    <n v="0.1"/>
    <s v="433 Main St"/>
    <x v="3"/>
    <s v="TRK44134016"/>
    <x v="0"/>
    <n v="6"/>
    <x v="4"/>
    <n v="107382"/>
    <n v="10738.2"/>
    <n v="96643.8"/>
  </r>
  <r>
    <s v="ORD200431"/>
    <x v="354"/>
    <s v="C62312"/>
    <x v="4"/>
    <n v="1"/>
    <n v="5368"/>
    <n v="0.19"/>
    <s v="651 Main St"/>
    <x v="0"/>
    <s v="TRK59623037"/>
    <x v="2"/>
    <n v="6"/>
    <x v="3"/>
    <n v="5368"/>
    <n v="1019.92"/>
    <n v="4348.08"/>
  </r>
  <r>
    <s v="ORD200432"/>
    <x v="355"/>
    <s v="C58443"/>
    <x v="2"/>
    <n v="1"/>
    <n v="13810"/>
    <n v="0.39"/>
    <s v="662 Main St"/>
    <x v="2"/>
    <s v="TRK77163738"/>
    <x v="0"/>
    <n v="6"/>
    <x v="1"/>
    <n v="13810"/>
    <n v="5385.9000000000005"/>
    <n v="8424.0999999999985"/>
  </r>
  <r>
    <s v="ORD200433"/>
    <x v="46"/>
    <s v="C36613"/>
    <x v="0"/>
    <n v="2"/>
    <n v="9421"/>
    <n v="0.47"/>
    <s v="785 Main St"/>
    <x v="2"/>
    <s v="TRK13282106"/>
    <x v="0"/>
    <n v="3"/>
    <x v="3"/>
    <n v="18842"/>
    <n v="8855.74"/>
    <n v="9986.26"/>
  </r>
  <r>
    <s v="ORD200434"/>
    <x v="356"/>
    <s v="C73893"/>
    <x v="4"/>
    <n v="3"/>
    <n v="5675"/>
    <n v="0.28000000000000003"/>
    <s v="384 Main St"/>
    <x v="2"/>
    <s v="TRK85939879"/>
    <x v="2"/>
    <n v="6"/>
    <x v="3"/>
    <n v="17025"/>
    <n v="4767"/>
    <n v="12258"/>
  </r>
  <r>
    <s v="ORD200435"/>
    <x v="156"/>
    <s v="C48601"/>
    <x v="4"/>
    <n v="1"/>
    <n v="7869"/>
    <n v="0.26"/>
    <s v="101 Main St"/>
    <x v="0"/>
    <s v="TRK97868309"/>
    <x v="0"/>
    <n v="3"/>
    <x v="0"/>
    <n v="7869"/>
    <n v="2045.94"/>
    <n v="5823.0599999999995"/>
  </r>
  <r>
    <s v="ORD200436"/>
    <x v="91"/>
    <s v="C14568"/>
    <x v="5"/>
    <n v="3"/>
    <n v="61001"/>
    <n v="0.25"/>
    <s v="651 Main St"/>
    <x v="1"/>
    <s v="TRK73545796"/>
    <x v="2"/>
    <n v="5"/>
    <x v="4"/>
    <n v="183003"/>
    <n v="45750.75"/>
    <n v="137252.25"/>
  </r>
  <r>
    <s v="ORD200437"/>
    <x v="171"/>
    <s v="C63378"/>
    <x v="1"/>
    <n v="1"/>
    <n v="41212"/>
    <n v="0.41"/>
    <s v="955 Main St"/>
    <x v="1"/>
    <s v="TRK20863705"/>
    <x v="1"/>
    <n v="2"/>
    <x v="0"/>
    <n v="41212"/>
    <n v="16896.919999999998"/>
    <n v="24315.08"/>
  </r>
  <r>
    <s v="ORD200438"/>
    <x v="195"/>
    <s v="C77800"/>
    <x v="2"/>
    <n v="1"/>
    <n v="15184"/>
    <n v="0.5"/>
    <s v="436 Main St"/>
    <x v="3"/>
    <s v="TRK27439574"/>
    <x v="2"/>
    <n v="3"/>
    <x v="0"/>
    <n v="15184"/>
    <n v="7592"/>
    <n v="7592"/>
  </r>
  <r>
    <s v="ORD200439"/>
    <x v="50"/>
    <s v="C91155"/>
    <x v="2"/>
    <n v="2"/>
    <n v="11118"/>
    <n v="0.32"/>
    <s v="321 Main St"/>
    <x v="1"/>
    <s v="TRK36260319"/>
    <x v="0"/>
    <n v="4"/>
    <x v="3"/>
    <n v="22236"/>
    <n v="7115.52"/>
    <n v="15120.48"/>
  </r>
  <r>
    <s v="ORD200440"/>
    <x v="357"/>
    <s v="C60215"/>
    <x v="6"/>
    <n v="2"/>
    <n v="1370"/>
    <n v="0.19"/>
    <s v="978 Main St"/>
    <x v="0"/>
    <s v="TRK31727767"/>
    <x v="2"/>
    <n v="4"/>
    <x v="3"/>
    <n v="2740"/>
    <n v="520.6"/>
    <n v="2219.4"/>
  </r>
  <r>
    <s v="ORD200441"/>
    <x v="141"/>
    <s v="C52915"/>
    <x v="4"/>
    <n v="1"/>
    <n v="9080"/>
    <n v="0.11"/>
    <s v="475 Main St"/>
    <x v="3"/>
    <s v="TRK79466982"/>
    <x v="2"/>
    <n v="6"/>
    <x v="2"/>
    <n v="9080"/>
    <n v="998.8"/>
    <n v="8081.2"/>
  </r>
  <r>
    <s v="ORD200442"/>
    <x v="40"/>
    <s v="C72588"/>
    <x v="3"/>
    <n v="1"/>
    <n v="16755"/>
    <n v="0.1"/>
    <s v="661 Main St"/>
    <x v="4"/>
    <s v="TRK43410829"/>
    <x v="2"/>
    <n v="8"/>
    <x v="0"/>
    <n v="16755"/>
    <n v="1675.5"/>
    <n v="15079.5"/>
  </r>
  <r>
    <s v="ORD200443"/>
    <x v="358"/>
    <s v="C61668"/>
    <x v="3"/>
    <n v="1"/>
    <n v="20546"/>
    <n v="0.43"/>
    <s v="813 Main St"/>
    <x v="4"/>
    <s v="TRK58970302"/>
    <x v="2"/>
    <n v="6"/>
    <x v="3"/>
    <n v="20546"/>
    <n v="8834.7800000000007"/>
    <n v="11711.22"/>
  </r>
  <r>
    <s v="ORD200444"/>
    <x v="180"/>
    <s v="C79508"/>
    <x v="4"/>
    <n v="1"/>
    <n v="7028"/>
    <n v="0.5"/>
    <s v="585 Main St"/>
    <x v="1"/>
    <s v="TRK61882353"/>
    <x v="0"/>
    <n v="6"/>
    <x v="0"/>
    <n v="7028"/>
    <n v="3514"/>
    <n v="3514"/>
  </r>
  <r>
    <s v="ORD200445"/>
    <x v="230"/>
    <s v="C94569"/>
    <x v="1"/>
    <n v="1"/>
    <n v="32324"/>
    <n v="0.35"/>
    <s v="227 Main St"/>
    <x v="4"/>
    <s v="TRK31351770"/>
    <x v="1"/>
    <n v="3"/>
    <x v="1"/>
    <n v="32324"/>
    <n v="11313.4"/>
    <n v="21010.6"/>
  </r>
  <r>
    <s v="ORD200446"/>
    <x v="359"/>
    <s v="C89592"/>
    <x v="5"/>
    <n v="2"/>
    <n v="70317"/>
    <n v="0.48"/>
    <s v="262 Main St"/>
    <x v="1"/>
    <s v="TRK49442402"/>
    <x v="1"/>
    <n v="6"/>
    <x v="0"/>
    <n v="140634"/>
    <n v="67504.319999999992"/>
    <n v="73129.680000000008"/>
  </r>
  <r>
    <s v="ORD200447"/>
    <x v="158"/>
    <s v="C48207"/>
    <x v="4"/>
    <n v="1"/>
    <n v="5367"/>
    <n v="0.17"/>
    <s v="356 Main St"/>
    <x v="4"/>
    <s v="TRK45355655"/>
    <x v="0"/>
    <n v="2"/>
    <x v="3"/>
    <n v="5367"/>
    <n v="912.3900000000001"/>
    <n v="4454.6099999999997"/>
  </r>
  <r>
    <s v="ORD200448"/>
    <x v="355"/>
    <s v="C16776"/>
    <x v="5"/>
    <n v="3"/>
    <n v="57231"/>
    <n v="0.31"/>
    <s v="854 Main St"/>
    <x v="4"/>
    <s v="TRK12860600"/>
    <x v="2"/>
    <n v="4"/>
    <x v="0"/>
    <n v="171693"/>
    <n v="53224.83"/>
    <n v="118468.17"/>
  </r>
  <r>
    <s v="ORD200449"/>
    <x v="360"/>
    <s v="C91518"/>
    <x v="2"/>
    <n v="3"/>
    <n v="15894"/>
    <n v="0.26"/>
    <s v="286 Main St"/>
    <x v="1"/>
    <s v="TRK48688724"/>
    <x v="2"/>
    <n v="3"/>
    <x v="0"/>
    <n v="47682"/>
    <n v="12397.32"/>
    <n v="35284.68"/>
  </r>
  <r>
    <s v="ORD200450"/>
    <x v="361"/>
    <s v="C36408"/>
    <x v="0"/>
    <n v="3"/>
    <n v="6155"/>
    <n v="0.24"/>
    <s v="160 Main St"/>
    <x v="3"/>
    <s v="TRK94023253"/>
    <x v="1"/>
    <n v="10"/>
    <x v="0"/>
    <n v="18465"/>
    <n v="4431.5999999999995"/>
    <n v="14033.400000000001"/>
  </r>
  <r>
    <s v="ORD200451"/>
    <x v="362"/>
    <s v="C14837"/>
    <x v="0"/>
    <n v="1"/>
    <n v="3588"/>
    <n v="0.32"/>
    <s v="647 Main St"/>
    <x v="0"/>
    <s v="TRK17501136"/>
    <x v="2"/>
    <n v="6"/>
    <x v="2"/>
    <n v="3588"/>
    <n v="1148.1600000000001"/>
    <n v="2439.84"/>
  </r>
  <r>
    <s v="ORD200452"/>
    <x v="363"/>
    <s v="C36467"/>
    <x v="4"/>
    <n v="2"/>
    <n v="8947"/>
    <n v="0.16"/>
    <s v="581 Main St"/>
    <x v="4"/>
    <s v="TRK20863987"/>
    <x v="2"/>
    <n v="5"/>
    <x v="4"/>
    <n v="17894"/>
    <n v="2863.04"/>
    <n v="15030.96"/>
  </r>
  <r>
    <s v="ORD200453"/>
    <x v="201"/>
    <s v="C15017"/>
    <x v="2"/>
    <n v="1"/>
    <n v="4600"/>
    <n v="0.32"/>
    <s v="492 Main St"/>
    <x v="4"/>
    <s v="TRK51241924"/>
    <x v="0"/>
    <n v="1"/>
    <x v="3"/>
    <n v="4600"/>
    <n v="1472"/>
    <n v="3128"/>
  </r>
  <r>
    <s v="ORD200454"/>
    <x v="364"/>
    <s v="C54759"/>
    <x v="5"/>
    <n v="1"/>
    <n v="61725"/>
    <n v="0.34"/>
    <s v="686 Main St"/>
    <x v="0"/>
    <s v="TRK75583042"/>
    <x v="2"/>
    <n v="5"/>
    <x v="4"/>
    <n v="61725"/>
    <n v="20986.5"/>
    <n v="40738.5"/>
  </r>
  <r>
    <s v="ORD200455"/>
    <x v="290"/>
    <s v="C58341"/>
    <x v="1"/>
    <n v="1"/>
    <n v="40585"/>
    <n v="0.42"/>
    <s v="874 Main St"/>
    <x v="0"/>
    <s v="TRK32856728"/>
    <x v="2"/>
    <n v="2"/>
    <x v="1"/>
    <n v="40585"/>
    <n v="17045.7"/>
    <n v="23539.3"/>
  </r>
  <r>
    <s v="ORD200456"/>
    <x v="365"/>
    <s v="C94479"/>
    <x v="6"/>
    <n v="2"/>
    <n v="1792"/>
    <n v="0.37"/>
    <s v="259 Main St"/>
    <x v="2"/>
    <s v="TRK69089975"/>
    <x v="0"/>
    <n v="9"/>
    <x v="3"/>
    <n v="3584"/>
    <n v="1326.08"/>
    <n v="2257.92"/>
  </r>
  <r>
    <s v="ORD200457"/>
    <x v="366"/>
    <s v="C50236"/>
    <x v="6"/>
    <n v="2"/>
    <n v="2773"/>
    <n v="0.16"/>
    <s v="545 Main St"/>
    <x v="1"/>
    <s v="TRK67692578"/>
    <x v="0"/>
    <n v="4"/>
    <x v="0"/>
    <n v="5546"/>
    <n v="887.36"/>
    <n v="4658.6400000000003"/>
  </r>
  <r>
    <s v="ORD200458"/>
    <x v="367"/>
    <s v="C31412"/>
    <x v="0"/>
    <n v="3"/>
    <n v="8848"/>
    <n v="0.23"/>
    <s v="196 Main St"/>
    <x v="2"/>
    <s v="TRK61946127"/>
    <x v="2"/>
    <n v="7"/>
    <x v="2"/>
    <n v="26544"/>
    <n v="6105.12"/>
    <n v="20438.88"/>
  </r>
  <r>
    <s v="ORD200459"/>
    <x v="25"/>
    <s v="C90142"/>
    <x v="6"/>
    <n v="1"/>
    <n v="9152"/>
    <n v="0.06"/>
    <s v="433 Main St"/>
    <x v="2"/>
    <s v="TRK39717191"/>
    <x v="1"/>
    <n v="2"/>
    <x v="0"/>
    <n v="9152"/>
    <n v="549.12"/>
    <n v="8602.8799999999992"/>
  </r>
  <r>
    <s v="ORD200460"/>
    <x v="354"/>
    <s v="C83548"/>
    <x v="5"/>
    <n v="3"/>
    <n v="49857"/>
    <n v="0.13"/>
    <s v="474 Main St"/>
    <x v="4"/>
    <s v="TRK93822942"/>
    <x v="2"/>
    <n v="2"/>
    <x v="1"/>
    <n v="149571"/>
    <n v="19444.23"/>
    <n v="130126.77"/>
  </r>
  <r>
    <s v="ORD200461"/>
    <x v="180"/>
    <s v="C29697"/>
    <x v="2"/>
    <n v="2"/>
    <n v="4135"/>
    <n v="0.26"/>
    <s v="407 Main St"/>
    <x v="2"/>
    <s v="TRK47776482"/>
    <x v="0"/>
    <n v="5"/>
    <x v="4"/>
    <n v="8270"/>
    <n v="2150.2000000000003"/>
    <n v="6119.7999999999993"/>
  </r>
  <r>
    <s v="ORD200462"/>
    <x v="368"/>
    <s v="C22991"/>
    <x v="1"/>
    <n v="1"/>
    <n v="37650"/>
    <n v="0.05"/>
    <s v="731 Main St"/>
    <x v="1"/>
    <s v="TRK32796086"/>
    <x v="1"/>
    <n v="1"/>
    <x v="1"/>
    <n v="37650"/>
    <n v="1882.5"/>
    <n v="35767.5"/>
  </r>
  <r>
    <s v="ORD200463"/>
    <x v="68"/>
    <s v="C25276"/>
    <x v="5"/>
    <n v="3"/>
    <n v="34291"/>
    <n v="0.28999999999999998"/>
    <s v="214 Main St"/>
    <x v="0"/>
    <s v="TRK14011732"/>
    <x v="0"/>
    <n v="9"/>
    <x v="0"/>
    <n v="102873"/>
    <n v="29833.17"/>
    <n v="73039.83"/>
  </r>
  <r>
    <s v="ORD200464"/>
    <x v="369"/>
    <s v="C39176"/>
    <x v="2"/>
    <n v="2"/>
    <n v="18216"/>
    <n v="0.2"/>
    <s v="739 Main St"/>
    <x v="1"/>
    <s v="TRK71418686"/>
    <x v="1"/>
    <n v="6"/>
    <x v="4"/>
    <n v="36432"/>
    <n v="7286.4000000000005"/>
    <n v="29145.599999999999"/>
  </r>
  <r>
    <s v="ORD200465"/>
    <x v="235"/>
    <s v="C58773"/>
    <x v="4"/>
    <n v="1"/>
    <n v="9841"/>
    <n v="0.02"/>
    <s v="391 Main St"/>
    <x v="3"/>
    <s v="TRK65438300"/>
    <x v="1"/>
    <n v="8"/>
    <x v="4"/>
    <n v="9841"/>
    <n v="196.82"/>
    <n v="9644.18"/>
  </r>
  <r>
    <s v="ORD200466"/>
    <x v="202"/>
    <s v="C37412"/>
    <x v="1"/>
    <n v="1"/>
    <n v="39208"/>
    <n v="0.22"/>
    <s v="895 Main St"/>
    <x v="4"/>
    <s v="TRK97829604"/>
    <x v="1"/>
    <n v="4"/>
    <x v="1"/>
    <n v="39208"/>
    <n v="8625.76"/>
    <n v="30582.239999999998"/>
  </r>
  <r>
    <s v="ORD200467"/>
    <x v="225"/>
    <s v="C36492"/>
    <x v="6"/>
    <n v="3"/>
    <n v="5082"/>
    <n v="0.14000000000000001"/>
    <s v="572 Main St"/>
    <x v="4"/>
    <s v="TRK44350440"/>
    <x v="0"/>
    <n v="2"/>
    <x v="2"/>
    <n v="15246"/>
    <n v="2134.44"/>
    <n v="13111.56"/>
  </r>
  <r>
    <s v="ORD200468"/>
    <x v="370"/>
    <s v="C90110"/>
    <x v="1"/>
    <n v="2"/>
    <n v="35520"/>
    <n v="0.03"/>
    <s v="998 Main St"/>
    <x v="2"/>
    <s v="TRK60203957"/>
    <x v="1"/>
    <n v="5"/>
    <x v="2"/>
    <n v="71040"/>
    <n v="2131.1999999999998"/>
    <n v="68908.800000000003"/>
  </r>
  <r>
    <s v="ORD200469"/>
    <x v="371"/>
    <s v="C13877"/>
    <x v="3"/>
    <n v="2"/>
    <n v="42038"/>
    <n v="0.15"/>
    <s v="893 Main St"/>
    <x v="4"/>
    <s v="TRK17254691"/>
    <x v="2"/>
    <n v="5"/>
    <x v="3"/>
    <n v="84076"/>
    <n v="12611.4"/>
    <n v="71464.600000000006"/>
  </r>
  <r>
    <s v="ORD200470"/>
    <x v="372"/>
    <s v="C25149"/>
    <x v="2"/>
    <n v="2"/>
    <n v="10458"/>
    <n v="0.15"/>
    <s v="672 Main St"/>
    <x v="4"/>
    <s v="TRK33538608"/>
    <x v="0"/>
    <n v="5"/>
    <x v="2"/>
    <n v="20916"/>
    <n v="3137.4"/>
    <n v="17778.599999999999"/>
  </r>
  <r>
    <s v="ORD200471"/>
    <x v="373"/>
    <s v="C52717"/>
    <x v="6"/>
    <n v="3"/>
    <n v="6162"/>
    <n v="0.18"/>
    <s v="395 Main St"/>
    <x v="1"/>
    <s v="TRK27625571"/>
    <x v="1"/>
    <n v="7"/>
    <x v="1"/>
    <n v="18486"/>
    <n v="3327.48"/>
    <n v="15158.52"/>
  </r>
  <r>
    <s v="ORD200472"/>
    <x v="374"/>
    <s v="C60029"/>
    <x v="3"/>
    <n v="1"/>
    <n v="16530"/>
    <n v="0.18"/>
    <s v="796 Main St"/>
    <x v="2"/>
    <s v="TRK86461316"/>
    <x v="0"/>
    <n v="8"/>
    <x v="1"/>
    <n v="16530"/>
    <n v="2975.4"/>
    <n v="13554.6"/>
  </r>
  <r>
    <s v="ORD200473"/>
    <x v="86"/>
    <s v="C28552"/>
    <x v="3"/>
    <n v="2"/>
    <n v="35029"/>
    <n v="0.21"/>
    <s v="449 Main St"/>
    <x v="1"/>
    <s v="TRK71597160"/>
    <x v="0"/>
    <n v="4"/>
    <x v="3"/>
    <n v="70058"/>
    <n v="14712.18"/>
    <n v="55345.82"/>
  </r>
  <r>
    <s v="ORD200474"/>
    <x v="375"/>
    <s v="C72293"/>
    <x v="4"/>
    <n v="3"/>
    <n v="9956"/>
    <n v="0.05"/>
    <s v="398 Main St"/>
    <x v="2"/>
    <s v="TRK84378003"/>
    <x v="0"/>
    <n v="6"/>
    <x v="1"/>
    <n v="29868"/>
    <n v="1493.4"/>
    <n v="28374.6"/>
  </r>
  <r>
    <s v="ORD200475"/>
    <x v="373"/>
    <s v="C29844"/>
    <x v="2"/>
    <n v="2"/>
    <n v="10769"/>
    <n v="0"/>
    <s v="363 Main St"/>
    <x v="4"/>
    <s v="TRK91642337"/>
    <x v="1"/>
    <n v="3"/>
    <x v="3"/>
    <n v="21538"/>
    <n v="0"/>
    <n v="21538"/>
  </r>
  <r>
    <s v="ORD200476"/>
    <x v="361"/>
    <s v="C77872"/>
    <x v="1"/>
    <n v="2"/>
    <n v="21449"/>
    <n v="0.37"/>
    <s v="867 Main St"/>
    <x v="1"/>
    <s v="TRK19292184"/>
    <x v="0"/>
    <n v="4"/>
    <x v="1"/>
    <n v="42898"/>
    <n v="15872.26"/>
    <n v="27025.739999999998"/>
  </r>
  <r>
    <s v="ORD200477"/>
    <x v="376"/>
    <s v="C56564"/>
    <x v="1"/>
    <n v="3"/>
    <n v="19155"/>
    <n v="0.17"/>
    <s v="481 Main St"/>
    <x v="1"/>
    <s v="TRK13166044"/>
    <x v="0"/>
    <n v="5"/>
    <x v="4"/>
    <n v="57465"/>
    <n v="9769.0500000000011"/>
    <n v="47695.95"/>
  </r>
  <r>
    <s v="ORD200478"/>
    <x v="377"/>
    <s v="C16758"/>
    <x v="2"/>
    <n v="2"/>
    <n v="17239"/>
    <n v="0.31"/>
    <s v="914 Main St"/>
    <x v="3"/>
    <s v="TRK88544431"/>
    <x v="0"/>
    <n v="6"/>
    <x v="1"/>
    <n v="34478"/>
    <n v="10688.18"/>
    <n v="23789.82"/>
  </r>
  <r>
    <s v="ORD200479"/>
    <x v="378"/>
    <s v="C87011"/>
    <x v="0"/>
    <n v="2"/>
    <n v="2227"/>
    <n v="0.15"/>
    <s v="943 Main St"/>
    <x v="2"/>
    <s v="TRK21429162"/>
    <x v="2"/>
    <n v="8"/>
    <x v="4"/>
    <n v="4454"/>
    <n v="668.1"/>
    <n v="3785.9"/>
  </r>
  <r>
    <s v="ORD200480"/>
    <x v="379"/>
    <s v="C21147"/>
    <x v="3"/>
    <n v="3"/>
    <n v="19469"/>
    <n v="0.49"/>
    <s v="126 Main St"/>
    <x v="0"/>
    <s v="TRK93171043"/>
    <x v="2"/>
    <n v="6"/>
    <x v="1"/>
    <n v="58407"/>
    <n v="28619.43"/>
    <n v="29787.57"/>
  </r>
  <r>
    <s v="ORD200481"/>
    <x v="295"/>
    <s v="C94568"/>
    <x v="5"/>
    <n v="3"/>
    <n v="54703"/>
    <n v="0.16"/>
    <s v="317 Main St"/>
    <x v="0"/>
    <s v="TRK58653915"/>
    <x v="1"/>
    <n v="5"/>
    <x v="1"/>
    <n v="164109"/>
    <n v="26257.440000000002"/>
    <n v="137851.56"/>
  </r>
  <r>
    <s v="ORD200482"/>
    <x v="380"/>
    <s v="C35852"/>
    <x v="0"/>
    <n v="1"/>
    <n v="2605"/>
    <n v="0.3"/>
    <s v="989 Main St"/>
    <x v="1"/>
    <s v="TRK22302049"/>
    <x v="2"/>
    <n v="6"/>
    <x v="0"/>
    <n v="2605"/>
    <n v="781.5"/>
    <n v="1823.5"/>
  </r>
  <r>
    <s v="ORD200483"/>
    <x v="381"/>
    <s v="C66462"/>
    <x v="1"/>
    <n v="3"/>
    <n v="38012"/>
    <n v="0.11"/>
    <s v="982 Main St"/>
    <x v="4"/>
    <s v="TRK52743700"/>
    <x v="2"/>
    <n v="6"/>
    <x v="4"/>
    <n v="114036"/>
    <n v="12543.960000000001"/>
    <n v="101492.04"/>
  </r>
  <r>
    <s v="ORD200484"/>
    <x v="382"/>
    <s v="C29092"/>
    <x v="3"/>
    <n v="3"/>
    <n v="30708"/>
    <n v="0.26"/>
    <s v="767 Main St"/>
    <x v="4"/>
    <s v="TRK90455340"/>
    <x v="0"/>
    <n v="6"/>
    <x v="3"/>
    <n v="92124"/>
    <n v="23952.240000000002"/>
    <n v="68171.759999999995"/>
  </r>
  <r>
    <s v="ORD200485"/>
    <x v="383"/>
    <s v="C46651"/>
    <x v="3"/>
    <n v="1"/>
    <n v="28049"/>
    <n v="0.28999999999999998"/>
    <s v="764 Main St"/>
    <x v="4"/>
    <s v="TRK67679195"/>
    <x v="0"/>
    <n v="6"/>
    <x v="0"/>
    <n v="28049"/>
    <n v="8134.2099999999991"/>
    <n v="19914.79"/>
  </r>
  <r>
    <s v="ORD200486"/>
    <x v="384"/>
    <s v="C88981"/>
    <x v="4"/>
    <n v="3"/>
    <n v="8583"/>
    <n v="0.09"/>
    <s v="558 Main St"/>
    <x v="4"/>
    <s v="TRK75267873"/>
    <x v="0"/>
    <n v="5"/>
    <x v="1"/>
    <n v="25749"/>
    <n v="2317.41"/>
    <n v="23431.59"/>
  </r>
  <r>
    <s v="ORD200487"/>
    <x v="338"/>
    <s v="C40136"/>
    <x v="4"/>
    <n v="3"/>
    <n v="8848"/>
    <n v="0.06"/>
    <s v="211 Main St"/>
    <x v="2"/>
    <s v="TRK92924852"/>
    <x v="2"/>
    <n v="3"/>
    <x v="4"/>
    <n v="26544"/>
    <n v="1592.6399999999999"/>
    <n v="24951.360000000001"/>
  </r>
  <r>
    <s v="ORD200488"/>
    <x v="194"/>
    <s v="C81573"/>
    <x v="3"/>
    <n v="2"/>
    <n v="48215"/>
    <n v="0.49"/>
    <s v="556 Main St"/>
    <x v="1"/>
    <s v="TRK96522994"/>
    <x v="0"/>
    <n v="1"/>
    <x v="2"/>
    <n v="96430"/>
    <n v="47250.7"/>
    <n v="49179.3"/>
  </r>
  <r>
    <s v="ORD200489"/>
    <x v="189"/>
    <s v="C11940"/>
    <x v="2"/>
    <n v="2"/>
    <n v="18499"/>
    <n v="0.45"/>
    <s v="589 Main St"/>
    <x v="3"/>
    <s v="TRK85466461"/>
    <x v="1"/>
    <n v="7"/>
    <x v="2"/>
    <n v="36998"/>
    <n v="16649.100000000002"/>
    <n v="20348.899999999998"/>
  </r>
  <r>
    <s v="ORD200490"/>
    <x v="319"/>
    <s v="C50097"/>
    <x v="3"/>
    <n v="2"/>
    <n v="24635"/>
    <n v="0.33"/>
    <s v="539 Main St"/>
    <x v="1"/>
    <s v="TRK62785150"/>
    <x v="0"/>
    <n v="10"/>
    <x v="3"/>
    <n v="49270"/>
    <n v="16259.1"/>
    <n v="33010.9"/>
  </r>
  <r>
    <s v="ORD200491"/>
    <x v="314"/>
    <s v="C98168"/>
    <x v="1"/>
    <n v="2"/>
    <n v="46038"/>
    <n v="0.43"/>
    <s v="481 Main St"/>
    <x v="4"/>
    <s v="TRK56423359"/>
    <x v="2"/>
    <n v="5"/>
    <x v="3"/>
    <n v="92076"/>
    <n v="39592.68"/>
    <n v="52483.32"/>
  </r>
  <r>
    <s v="ORD200492"/>
    <x v="385"/>
    <s v="C39074"/>
    <x v="5"/>
    <n v="3"/>
    <n v="37578"/>
    <n v="0.05"/>
    <s v="103 Main St"/>
    <x v="0"/>
    <s v="TRK13027036"/>
    <x v="0"/>
    <n v="6"/>
    <x v="0"/>
    <n v="112734"/>
    <n v="5636.7000000000007"/>
    <n v="107097.3"/>
  </r>
  <r>
    <s v="ORD200493"/>
    <x v="386"/>
    <s v="C84908"/>
    <x v="1"/>
    <n v="3"/>
    <n v="34018"/>
    <n v="0.36"/>
    <s v="372 Main St"/>
    <x v="2"/>
    <s v="TRK64135970"/>
    <x v="2"/>
    <n v="4"/>
    <x v="3"/>
    <n v="102054"/>
    <n v="36739.439999999995"/>
    <n v="65314.560000000005"/>
  </r>
  <r>
    <s v="ORD200494"/>
    <x v="45"/>
    <s v="C64516"/>
    <x v="5"/>
    <n v="2"/>
    <n v="21825"/>
    <n v="0.14000000000000001"/>
    <s v="459 Main St"/>
    <x v="0"/>
    <s v="TRK63920573"/>
    <x v="2"/>
    <n v="3"/>
    <x v="1"/>
    <n v="43650"/>
    <n v="6111.0000000000009"/>
    <n v="37539"/>
  </r>
  <r>
    <s v="ORD200495"/>
    <x v="85"/>
    <s v="C63827"/>
    <x v="1"/>
    <n v="2"/>
    <n v="28674"/>
    <n v="0.27"/>
    <s v="947 Main St"/>
    <x v="0"/>
    <s v="TRK35730581"/>
    <x v="2"/>
    <n v="6"/>
    <x v="3"/>
    <n v="57348"/>
    <n v="15483.960000000001"/>
    <n v="41864.04"/>
  </r>
  <r>
    <s v="ORD200496"/>
    <x v="387"/>
    <s v="C93618"/>
    <x v="4"/>
    <n v="2"/>
    <n v="8056"/>
    <n v="0.38"/>
    <s v="249 Main St"/>
    <x v="1"/>
    <s v="TRK66129326"/>
    <x v="2"/>
    <n v="3"/>
    <x v="4"/>
    <n v="16112"/>
    <n v="6122.56"/>
    <n v="9989.4399999999987"/>
  </r>
  <r>
    <s v="ORD200497"/>
    <x v="101"/>
    <s v="C93948"/>
    <x v="4"/>
    <n v="2"/>
    <n v="8920"/>
    <n v="0.02"/>
    <s v="454 Main St"/>
    <x v="3"/>
    <s v="TRK77358113"/>
    <x v="0"/>
    <n v="6"/>
    <x v="4"/>
    <n v="17840"/>
    <n v="356.8"/>
    <n v="17483.2"/>
  </r>
  <r>
    <s v="ORD200498"/>
    <x v="219"/>
    <s v="C73961"/>
    <x v="2"/>
    <n v="2"/>
    <n v="19732"/>
    <n v="0.35"/>
    <s v="306 Main St"/>
    <x v="4"/>
    <s v="TRK32607173"/>
    <x v="2"/>
    <n v="8"/>
    <x v="0"/>
    <n v="39464"/>
    <n v="13812.4"/>
    <n v="25651.599999999999"/>
  </r>
  <r>
    <s v="ORD200499"/>
    <x v="388"/>
    <s v="C18138"/>
    <x v="4"/>
    <n v="1"/>
    <n v="6758"/>
    <n v="0.22"/>
    <s v="520 Main St"/>
    <x v="2"/>
    <s v="TRK20289483"/>
    <x v="0"/>
    <n v="4"/>
    <x v="3"/>
    <n v="6758"/>
    <n v="1486.76"/>
    <n v="5271.24"/>
  </r>
  <r>
    <s v="ORD200500"/>
    <x v="158"/>
    <s v="C79475"/>
    <x v="5"/>
    <n v="1"/>
    <n v="45852"/>
    <n v="0.22"/>
    <s v="169 Main St"/>
    <x v="4"/>
    <s v="TRK42168516"/>
    <x v="1"/>
    <n v="8"/>
    <x v="3"/>
    <n v="45852"/>
    <n v="10087.44"/>
    <n v="35764.559999999998"/>
  </r>
  <r>
    <s v="ORD200501"/>
    <x v="389"/>
    <s v="C88546"/>
    <x v="6"/>
    <n v="3"/>
    <n v="5688"/>
    <n v="0.45"/>
    <s v="226 Main St"/>
    <x v="2"/>
    <s v="TRK19867754"/>
    <x v="2"/>
    <n v="7"/>
    <x v="1"/>
    <n v="17064"/>
    <n v="7678.8"/>
    <n v="9385.2000000000007"/>
  </r>
  <r>
    <s v="ORD200502"/>
    <x v="390"/>
    <s v="C69332"/>
    <x v="0"/>
    <n v="1"/>
    <n v="2461"/>
    <n v="0.43"/>
    <s v="745 Main St"/>
    <x v="0"/>
    <s v="TRK65718848"/>
    <x v="1"/>
    <n v="7"/>
    <x v="2"/>
    <n v="2461"/>
    <n v="1058.23"/>
    <n v="1402.77"/>
  </r>
  <r>
    <s v="ORD200503"/>
    <x v="303"/>
    <s v="C64554"/>
    <x v="2"/>
    <n v="2"/>
    <n v="2374"/>
    <n v="0.03"/>
    <s v="498 Main St"/>
    <x v="1"/>
    <s v="TRK95384568"/>
    <x v="2"/>
    <n v="4"/>
    <x v="3"/>
    <n v="4748"/>
    <n v="142.44"/>
    <n v="4605.5600000000004"/>
  </r>
  <r>
    <s v="ORD200504"/>
    <x v="113"/>
    <s v="C11676"/>
    <x v="0"/>
    <n v="3"/>
    <n v="6723"/>
    <n v="0.31"/>
    <s v="805 Main St"/>
    <x v="1"/>
    <s v="TRK35726395"/>
    <x v="0"/>
    <n v="2"/>
    <x v="0"/>
    <n v="20169"/>
    <n v="6252.39"/>
    <n v="13916.61"/>
  </r>
  <r>
    <s v="ORD200505"/>
    <x v="236"/>
    <s v="C36014"/>
    <x v="4"/>
    <n v="1"/>
    <n v="9334"/>
    <n v="0.22"/>
    <s v="558 Main St"/>
    <x v="1"/>
    <s v="TRK97246526"/>
    <x v="0"/>
    <n v="7"/>
    <x v="2"/>
    <n v="9334"/>
    <n v="2053.48"/>
    <n v="7280.52"/>
  </r>
  <r>
    <s v="ORD200506"/>
    <x v="284"/>
    <s v="C23279"/>
    <x v="0"/>
    <n v="3"/>
    <n v="8554"/>
    <n v="0.06"/>
    <s v="696 Main St"/>
    <x v="4"/>
    <s v="TRK58039693"/>
    <x v="2"/>
    <n v="4"/>
    <x v="0"/>
    <n v="25662"/>
    <n v="1539.72"/>
    <n v="24122.28"/>
  </r>
  <r>
    <s v="ORD200507"/>
    <x v="176"/>
    <s v="C86481"/>
    <x v="1"/>
    <n v="3"/>
    <n v="17018"/>
    <n v="0.43"/>
    <s v="546 Main St"/>
    <x v="2"/>
    <s v="TRK87513944"/>
    <x v="2"/>
    <n v="5"/>
    <x v="2"/>
    <n v="51054"/>
    <n v="21953.22"/>
    <n v="29100.78"/>
  </r>
  <r>
    <s v="ORD200508"/>
    <x v="391"/>
    <s v="C39550"/>
    <x v="1"/>
    <n v="2"/>
    <n v="22234"/>
    <n v="0.04"/>
    <s v="976 Main St"/>
    <x v="1"/>
    <s v="TRK24120267"/>
    <x v="1"/>
    <n v="1"/>
    <x v="1"/>
    <n v="44468"/>
    <n v="1778.72"/>
    <n v="42689.279999999999"/>
  </r>
  <r>
    <s v="ORD200509"/>
    <x v="392"/>
    <s v="C68937"/>
    <x v="5"/>
    <n v="3"/>
    <n v="61878"/>
    <n v="0.02"/>
    <s v="560 Main St"/>
    <x v="4"/>
    <s v="TRK31908657"/>
    <x v="1"/>
    <n v="2"/>
    <x v="4"/>
    <n v="185634"/>
    <n v="3712.6800000000003"/>
    <n v="181921.32"/>
  </r>
  <r>
    <s v="ORD200510"/>
    <x v="393"/>
    <s v="C72533"/>
    <x v="4"/>
    <n v="3"/>
    <n v="7380"/>
    <n v="0.1"/>
    <s v="389 Main St"/>
    <x v="0"/>
    <s v="TRK51288986"/>
    <x v="1"/>
    <n v="5"/>
    <x v="2"/>
    <n v="22140"/>
    <n v="2214"/>
    <n v="19926"/>
  </r>
  <r>
    <s v="ORD200511"/>
    <x v="394"/>
    <s v="C11415"/>
    <x v="0"/>
    <n v="1"/>
    <n v="3120"/>
    <n v="0.15"/>
    <s v="267 Main St"/>
    <x v="4"/>
    <s v="TRK65061457"/>
    <x v="1"/>
    <n v="7"/>
    <x v="2"/>
    <n v="3120"/>
    <n v="468"/>
    <n v="2652"/>
  </r>
  <r>
    <s v="ORD200512"/>
    <x v="395"/>
    <s v="C14114"/>
    <x v="6"/>
    <n v="1"/>
    <n v="2765"/>
    <n v="0.03"/>
    <s v="856 Main St"/>
    <x v="1"/>
    <s v="TRK63290700"/>
    <x v="2"/>
    <n v="3"/>
    <x v="0"/>
    <n v="2765"/>
    <n v="82.95"/>
    <n v="2682.05"/>
  </r>
  <r>
    <s v="ORD200513"/>
    <x v="396"/>
    <s v="C64128"/>
    <x v="2"/>
    <n v="3"/>
    <n v="17896"/>
    <n v="0.32"/>
    <s v="533 Main St"/>
    <x v="3"/>
    <s v="TRK37053575"/>
    <x v="0"/>
    <n v="8"/>
    <x v="1"/>
    <n v="53688"/>
    <n v="17180.16"/>
    <n v="36507.839999999997"/>
  </r>
  <r>
    <s v="ORD200514"/>
    <x v="397"/>
    <s v="C15629"/>
    <x v="4"/>
    <n v="1"/>
    <n v="5736"/>
    <n v="0.22"/>
    <s v="492 Main St"/>
    <x v="3"/>
    <s v="TRK64926044"/>
    <x v="0"/>
    <n v="3"/>
    <x v="0"/>
    <n v="5736"/>
    <n v="1261.92"/>
    <n v="4474.08"/>
  </r>
  <r>
    <s v="ORD200515"/>
    <x v="369"/>
    <s v="C67561"/>
    <x v="1"/>
    <n v="1"/>
    <n v="33363"/>
    <n v="0.21"/>
    <s v="160 Main St"/>
    <x v="3"/>
    <s v="TRK75900717"/>
    <x v="0"/>
    <n v="4"/>
    <x v="3"/>
    <n v="33363"/>
    <n v="7006.23"/>
    <n v="26356.77"/>
  </r>
  <r>
    <s v="ORD200516"/>
    <x v="158"/>
    <s v="C47022"/>
    <x v="0"/>
    <n v="2"/>
    <n v="1621"/>
    <n v="7.0000000000000007E-2"/>
    <s v="208 Main St"/>
    <x v="4"/>
    <s v="TRK28855040"/>
    <x v="1"/>
    <n v="8"/>
    <x v="3"/>
    <n v="3242"/>
    <n v="226.94000000000003"/>
    <n v="3015.06"/>
  </r>
  <r>
    <s v="ORD200517"/>
    <x v="398"/>
    <s v="C55205"/>
    <x v="2"/>
    <n v="3"/>
    <n v="9059"/>
    <n v="0.22"/>
    <s v="943 Main St"/>
    <x v="4"/>
    <s v="TRK88141634"/>
    <x v="2"/>
    <n v="7"/>
    <x v="4"/>
    <n v="27177"/>
    <n v="5978.94"/>
    <n v="21198.06"/>
  </r>
  <r>
    <s v="ORD200518"/>
    <x v="399"/>
    <s v="C30686"/>
    <x v="4"/>
    <n v="3"/>
    <n v="7181"/>
    <n v="0.2"/>
    <s v="319 Main St"/>
    <x v="1"/>
    <s v="TRK59807273"/>
    <x v="2"/>
    <n v="9"/>
    <x v="1"/>
    <n v="21543"/>
    <n v="4308.6000000000004"/>
    <n v="17234.400000000001"/>
  </r>
  <r>
    <s v="ORD200519"/>
    <x v="400"/>
    <s v="C71797"/>
    <x v="5"/>
    <n v="3"/>
    <n v="50997"/>
    <n v="0.19"/>
    <s v="941 Main St"/>
    <x v="0"/>
    <s v="TRK66010667"/>
    <x v="0"/>
    <n v="5"/>
    <x v="2"/>
    <n v="152991"/>
    <n v="29068.29"/>
    <n v="123922.70999999999"/>
  </r>
  <r>
    <s v="ORD200520"/>
    <x v="401"/>
    <s v="C66332"/>
    <x v="0"/>
    <n v="1"/>
    <n v="7824"/>
    <n v="0.11"/>
    <s v="959 Main St"/>
    <x v="4"/>
    <s v="TRK27063398"/>
    <x v="0"/>
    <n v="5"/>
    <x v="1"/>
    <n v="7824"/>
    <n v="860.64"/>
    <n v="6963.36"/>
  </r>
  <r>
    <s v="ORD200521"/>
    <x v="402"/>
    <s v="C82318"/>
    <x v="1"/>
    <n v="2"/>
    <n v="29891"/>
    <n v="0.05"/>
    <s v="991 Main St"/>
    <x v="2"/>
    <s v="TRK37534165"/>
    <x v="0"/>
    <n v="2"/>
    <x v="3"/>
    <n v="59782"/>
    <n v="2989.1000000000004"/>
    <n v="56792.9"/>
  </r>
  <r>
    <s v="ORD200522"/>
    <x v="322"/>
    <s v="C66254"/>
    <x v="3"/>
    <n v="3"/>
    <n v="32189"/>
    <n v="0.13"/>
    <s v="740 Main St"/>
    <x v="3"/>
    <s v="TRK82843861"/>
    <x v="0"/>
    <n v="1"/>
    <x v="2"/>
    <n v="96567"/>
    <n v="12553.710000000001"/>
    <n v="84013.29"/>
  </r>
  <r>
    <s v="ORD200523"/>
    <x v="403"/>
    <s v="C65083"/>
    <x v="6"/>
    <n v="1"/>
    <n v="5832"/>
    <n v="0.33"/>
    <s v="652 Main St"/>
    <x v="2"/>
    <s v="TRK60937148"/>
    <x v="0"/>
    <n v="6"/>
    <x v="4"/>
    <n v="5832"/>
    <n v="1924.5600000000002"/>
    <n v="3907.4399999999996"/>
  </r>
  <r>
    <s v="ORD200524"/>
    <x v="385"/>
    <s v="C44778"/>
    <x v="1"/>
    <n v="1"/>
    <n v="40883"/>
    <n v="0.04"/>
    <s v="103 Main St"/>
    <x v="2"/>
    <s v="TRK92617366"/>
    <x v="2"/>
    <n v="4"/>
    <x v="1"/>
    <n v="40883"/>
    <n v="1635.32"/>
    <n v="39247.68"/>
  </r>
  <r>
    <s v="ORD200525"/>
    <x v="404"/>
    <s v="C54499"/>
    <x v="0"/>
    <n v="3"/>
    <n v="5624"/>
    <n v="0.19"/>
    <s v="160 Main St"/>
    <x v="0"/>
    <s v="TRK18061555"/>
    <x v="0"/>
    <n v="1"/>
    <x v="2"/>
    <n v="16872"/>
    <n v="3205.68"/>
    <n v="13666.32"/>
  </r>
  <r>
    <s v="ORD200526"/>
    <x v="405"/>
    <s v="C91201"/>
    <x v="6"/>
    <n v="3"/>
    <n v="1527"/>
    <n v="0.26"/>
    <s v="837 Main St"/>
    <x v="4"/>
    <s v="TRK63526023"/>
    <x v="0"/>
    <n v="7"/>
    <x v="4"/>
    <n v="4581"/>
    <n v="1191.06"/>
    <n v="3389.94"/>
  </r>
  <r>
    <s v="ORD200527"/>
    <x v="406"/>
    <s v="C27202"/>
    <x v="3"/>
    <n v="2"/>
    <n v="30989"/>
    <n v="0.48"/>
    <s v="967 Main St"/>
    <x v="2"/>
    <s v="TRK75406128"/>
    <x v="0"/>
    <n v="10"/>
    <x v="1"/>
    <n v="61978"/>
    <n v="29749.439999999999"/>
    <n v="32228.560000000001"/>
  </r>
  <r>
    <s v="ORD200528"/>
    <x v="407"/>
    <s v="C32011"/>
    <x v="3"/>
    <n v="2"/>
    <n v="38758"/>
    <n v="0.42"/>
    <s v="686 Main St"/>
    <x v="2"/>
    <s v="TRK70997744"/>
    <x v="0"/>
    <n v="2"/>
    <x v="1"/>
    <n v="77516"/>
    <n v="32556.719999999998"/>
    <n v="44959.28"/>
  </r>
  <r>
    <s v="ORD200529"/>
    <x v="158"/>
    <s v="C21181"/>
    <x v="2"/>
    <n v="1"/>
    <n v="4947"/>
    <n v="0.46"/>
    <s v="938 Main St"/>
    <x v="4"/>
    <s v="TRK50363421"/>
    <x v="2"/>
    <n v="4"/>
    <x v="4"/>
    <n v="4947"/>
    <n v="2275.62"/>
    <n v="2671.38"/>
  </r>
  <r>
    <s v="ORD200530"/>
    <x v="408"/>
    <s v="C98450"/>
    <x v="3"/>
    <n v="1"/>
    <n v="32966"/>
    <n v="0.41"/>
    <s v="613 Main St"/>
    <x v="1"/>
    <s v="TRK14809530"/>
    <x v="2"/>
    <n v="9"/>
    <x v="4"/>
    <n v="32966"/>
    <n v="13516.06"/>
    <n v="19449.940000000002"/>
  </r>
  <r>
    <s v="ORD200531"/>
    <x v="367"/>
    <s v="C64502"/>
    <x v="6"/>
    <n v="1"/>
    <n v="6708"/>
    <n v="0.28999999999999998"/>
    <s v="722 Main St"/>
    <x v="3"/>
    <s v="TRK14914388"/>
    <x v="1"/>
    <n v="6"/>
    <x v="1"/>
    <n v="6708"/>
    <n v="1945.32"/>
    <n v="4762.68"/>
  </r>
  <r>
    <s v="ORD200532"/>
    <x v="120"/>
    <s v="C47365"/>
    <x v="5"/>
    <n v="2"/>
    <n v="28670"/>
    <n v="0.43"/>
    <s v="369 Main St"/>
    <x v="1"/>
    <s v="TRK42207882"/>
    <x v="1"/>
    <n v="7"/>
    <x v="2"/>
    <n v="57340"/>
    <n v="24656.2"/>
    <n v="32683.8"/>
  </r>
  <r>
    <s v="ORD200533"/>
    <x v="409"/>
    <s v="C66349"/>
    <x v="6"/>
    <n v="3"/>
    <n v="2153"/>
    <n v="0.28000000000000003"/>
    <s v="715 Main St"/>
    <x v="3"/>
    <s v="TRK63550793"/>
    <x v="0"/>
    <n v="1"/>
    <x v="3"/>
    <n v="6459"/>
    <n v="1808.5200000000002"/>
    <n v="4650.4799999999996"/>
  </r>
  <r>
    <s v="ORD200534"/>
    <x v="309"/>
    <s v="C73289"/>
    <x v="3"/>
    <n v="2"/>
    <n v="18047"/>
    <n v="0.18"/>
    <s v="906 Main St"/>
    <x v="0"/>
    <s v="TRK70872738"/>
    <x v="2"/>
    <n v="4"/>
    <x v="2"/>
    <n v="36094"/>
    <n v="6496.92"/>
    <n v="29597.08"/>
  </r>
  <r>
    <s v="ORD200535"/>
    <x v="25"/>
    <s v="C48649"/>
    <x v="0"/>
    <n v="3"/>
    <n v="9272"/>
    <n v="0.19"/>
    <s v="332 Main St"/>
    <x v="1"/>
    <s v="TRK45821445"/>
    <x v="0"/>
    <n v="3"/>
    <x v="2"/>
    <n v="27816"/>
    <n v="5285.04"/>
    <n v="22530.959999999999"/>
  </r>
  <r>
    <s v="ORD200536"/>
    <x v="410"/>
    <s v="C18724"/>
    <x v="3"/>
    <n v="2"/>
    <n v="47792"/>
    <n v="0.28000000000000003"/>
    <s v="124 Main St"/>
    <x v="4"/>
    <s v="TRK52508861"/>
    <x v="0"/>
    <n v="6"/>
    <x v="2"/>
    <n v="95584"/>
    <n v="26763.520000000004"/>
    <n v="68820.479999999996"/>
  </r>
  <r>
    <s v="ORD200537"/>
    <x v="411"/>
    <s v="C68553"/>
    <x v="2"/>
    <n v="1"/>
    <n v="13893"/>
    <n v="0.4"/>
    <s v="385 Main St"/>
    <x v="1"/>
    <s v="TRK58218971"/>
    <x v="1"/>
    <n v="4"/>
    <x v="3"/>
    <n v="13893"/>
    <n v="5557.2000000000007"/>
    <n v="8335.7999999999993"/>
  </r>
  <r>
    <s v="ORD200538"/>
    <x v="75"/>
    <s v="C61280"/>
    <x v="1"/>
    <n v="1"/>
    <n v="29136"/>
    <n v="7.0000000000000007E-2"/>
    <s v="100 Main St"/>
    <x v="4"/>
    <s v="TRK95487711"/>
    <x v="0"/>
    <n v="3"/>
    <x v="2"/>
    <n v="29136"/>
    <n v="2039.5200000000002"/>
    <n v="27096.48"/>
  </r>
  <r>
    <s v="ORD200539"/>
    <x v="403"/>
    <s v="C53277"/>
    <x v="6"/>
    <n v="2"/>
    <n v="7844"/>
    <n v="0.02"/>
    <s v="473 Main St"/>
    <x v="3"/>
    <s v="TRK17653832"/>
    <x v="1"/>
    <n v="7"/>
    <x v="4"/>
    <n v="15688"/>
    <n v="313.76"/>
    <n v="15374.24"/>
  </r>
  <r>
    <s v="ORD200540"/>
    <x v="412"/>
    <s v="C87281"/>
    <x v="5"/>
    <n v="3"/>
    <n v="23956"/>
    <n v="0.39"/>
    <s v="852 Main St"/>
    <x v="1"/>
    <s v="TRK81765057"/>
    <x v="2"/>
    <n v="7"/>
    <x v="1"/>
    <n v="71868"/>
    <n v="28028.52"/>
    <n v="43839.479999999996"/>
  </r>
  <r>
    <s v="ORD200541"/>
    <x v="413"/>
    <s v="C69009"/>
    <x v="4"/>
    <n v="1"/>
    <n v="7497"/>
    <n v="0.32"/>
    <s v="879 Main St"/>
    <x v="4"/>
    <s v="TRK61295842"/>
    <x v="2"/>
    <n v="10"/>
    <x v="0"/>
    <n v="7497"/>
    <n v="2399.04"/>
    <n v="5097.96"/>
  </r>
  <r>
    <s v="ORD200542"/>
    <x v="414"/>
    <s v="C49726"/>
    <x v="2"/>
    <n v="3"/>
    <n v="10327"/>
    <n v="0.41"/>
    <s v="934 Main St"/>
    <x v="4"/>
    <s v="TRK20739460"/>
    <x v="0"/>
    <n v="6"/>
    <x v="2"/>
    <n v="30981"/>
    <n v="12702.21"/>
    <n v="18278.79"/>
  </r>
  <r>
    <s v="ORD200543"/>
    <x v="415"/>
    <s v="C37531"/>
    <x v="6"/>
    <n v="3"/>
    <n v="4067"/>
    <n v="0.49"/>
    <s v="354 Main St"/>
    <x v="4"/>
    <s v="TRK93877673"/>
    <x v="0"/>
    <n v="6"/>
    <x v="3"/>
    <n v="12201"/>
    <n v="5978.49"/>
    <n v="6222.51"/>
  </r>
  <r>
    <s v="ORD200544"/>
    <x v="416"/>
    <s v="C48713"/>
    <x v="4"/>
    <n v="3"/>
    <n v="7348"/>
    <n v="0.13"/>
    <s v="373 Main St"/>
    <x v="2"/>
    <s v="TRK96334419"/>
    <x v="1"/>
    <n v="5"/>
    <x v="1"/>
    <n v="22044"/>
    <n v="2865.7200000000003"/>
    <n v="19178.28"/>
  </r>
  <r>
    <s v="ORD200545"/>
    <x v="263"/>
    <s v="C74138"/>
    <x v="0"/>
    <n v="3"/>
    <n v="5387"/>
    <n v="0.1"/>
    <s v="964 Main St"/>
    <x v="4"/>
    <s v="TRK74091695"/>
    <x v="0"/>
    <n v="3"/>
    <x v="0"/>
    <n v="16161"/>
    <n v="1616.1000000000001"/>
    <n v="14544.9"/>
  </r>
  <r>
    <s v="ORD200546"/>
    <x v="417"/>
    <s v="C82399"/>
    <x v="0"/>
    <n v="1"/>
    <n v="8849"/>
    <n v="0.17"/>
    <s v="928 Main St"/>
    <x v="2"/>
    <s v="TRK77177284"/>
    <x v="0"/>
    <n v="6"/>
    <x v="0"/>
    <n v="8849"/>
    <n v="1504.3300000000002"/>
    <n v="7344.67"/>
  </r>
  <r>
    <s v="ORD200547"/>
    <x v="38"/>
    <s v="C40427"/>
    <x v="1"/>
    <n v="2"/>
    <n v="23276"/>
    <n v="0.44"/>
    <s v="411 Main St"/>
    <x v="1"/>
    <s v="TRK25392280"/>
    <x v="1"/>
    <n v="4"/>
    <x v="3"/>
    <n v="46552"/>
    <n v="20482.88"/>
    <n v="26069.119999999999"/>
  </r>
  <r>
    <s v="ORD200548"/>
    <x v="80"/>
    <s v="C17103"/>
    <x v="4"/>
    <n v="2"/>
    <n v="6548"/>
    <n v="0.01"/>
    <s v="922 Main St"/>
    <x v="1"/>
    <s v="TRK64398650"/>
    <x v="1"/>
    <n v="5"/>
    <x v="0"/>
    <n v="13096"/>
    <n v="130.96"/>
    <n v="12965.04"/>
  </r>
  <r>
    <s v="ORD200549"/>
    <x v="86"/>
    <s v="C34266"/>
    <x v="0"/>
    <n v="2"/>
    <n v="6707"/>
    <n v="0.01"/>
    <s v="550 Main St"/>
    <x v="0"/>
    <s v="TRK56378197"/>
    <x v="0"/>
    <n v="8"/>
    <x v="0"/>
    <n v="13414"/>
    <n v="134.14000000000001"/>
    <n v="13279.86"/>
  </r>
  <r>
    <s v="ORD200550"/>
    <x v="418"/>
    <s v="C97485"/>
    <x v="5"/>
    <n v="1"/>
    <n v="63570"/>
    <n v="0.11"/>
    <s v="573 Main St"/>
    <x v="4"/>
    <s v="TRK81794737"/>
    <x v="0"/>
    <n v="4"/>
    <x v="4"/>
    <n v="63570"/>
    <n v="6992.7"/>
    <n v="56577.3"/>
  </r>
  <r>
    <s v="ORD200551"/>
    <x v="419"/>
    <s v="C23947"/>
    <x v="5"/>
    <n v="3"/>
    <n v="40216"/>
    <n v="0.19"/>
    <s v="353 Main St"/>
    <x v="0"/>
    <s v="TRK74812710"/>
    <x v="1"/>
    <n v="6"/>
    <x v="2"/>
    <n v="120648"/>
    <n v="22923.119999999999"/>
    <n v="97724.88"/>
  </r>
  <r>
    <s v="ORD200552"/>
    <x v="420"/>
    <s v="C21665"/>
    <x v="3"/>
    <n v="3"/>
    <n v="15981"/>
    <n v="0.15"/>
    <s v="560 Main St"/>
    <x v="1"/>
    <s v="TRK29890761"/>
    <x v="2"/>
    <n v="8"/>
    <x v="3"/>
    <n v="47943"/>
    <n v="7191.45"/>
    <n v="40751.550000000003"/>
  </r>
  <r>
    <s v="ORD200553"/>
    <x v="421"/>
    <s v="C82550"/>
    <x v="1"/>
    <n v="3"/>
    <n v="31899"/>
    <n v="0.41"/>
    <s v="828 Main St"/>
    <x v="3"/>
    <s v="TRK74103758"/>
    <x v="0"/>
    <n v="4"/>
    <x v="1"/>
    <n v="95697"/>
    <n v="39235.769999999997"/>
    <n v="56461.23"/>
  </r>
  <r>
    <s v="ORD200554"/>
    <x v="422"/>
    <s v="C61943"/>
    <x v="5"/>
    <n v="3"/>
    <n v="35623"/>
    <n v="0.34"/>
    <s v="610 Main St"/>
    <x v="4"/>
    <s v="TRK66126496"/>
    <x v="0"/>
    <n v="5"/>
    <x v="0"/>
    <n v="106869"/>
    <n v="36335.46"/>
    <n v="70533.540000000008"/>
  </r>
  <r>
    <s v="ORD200555"/>
    <x v="33"/>
    <s v="C88933"/>
    <x v="2"/>
    <n v="2"/>
    <n v="6119"/>
    <n v="0.42"/>
    <s v="333 Main St"/>
    <x v="4"/>
    <s v="TRK89306964"/>
    <x v="0"/>
    <n v="2"/>
    <x v="3"/>
    <n v="12238"/>
    <n v="5139.96"/>
    <n v="7098.04"/>
  </r>
  <r>
    <s v="ORD200556"/>
    <x v="423"/>
    <s v="C30923"/>
    <x v="5"/>
    <n v="2"/>
    <n v="45845"/>
    <n v="0.19"/>
    <s v="932 Main St"/>
    <x v="3"/>
    <s v="TRK82609328"/>
    <x v="2"/>
    <n v="2"/>
    <x v="3"/>
    <n v="91690"/>
    <n v="17421.099999999999"/>
    <n v="74268.899999999994"/>
  </r>
  <r>
    <s v="ORD200557"/>
    <x v="282"/>
    <s v="C56969"/>
    <x v="2"/>
    <n v="3"/>
    <n v="6659"/>
    <n v="0.3"/>
    <s v="130 Main St"/>
    <x v="0"/>
    <s v="TRK40719215"/>
    <x v="2"/>
    <n v="1"/>
    <x v="3"/>
    <n v="19977"/>
    <n v="5993.0999999999995"/>
    <n v="13983.900000000001"/>
  </r>
  <r>
    <s v="ORD200558"/>
    <x v="424"/>
    <s v="C76766"/>
    <x v="1"/>
    <n v="3"/>
    <n v="17207"/>
    <n v="0.26"/>
    <s v="485 Main St"/>
    <x v="1"/>
    <s v="TRK32052962"/>
    <x v="1"/>
    <n v="6"/>
    <x v="0"/>
    <n v="51621"/>
    <n v="13421.460000000001"/>
    <n v="38199.54"/>
  </r>
  <r>
    <s v="ORD200559"/>
    <x v="116"/>
    <s v="C22981"/>
    <x v="6"/>
    <n v="2"/>
    <n v="4717"/>
    <n v="0.24"/>
    <s v="454 Main St"/>
    <x v="0"/>
    <s v="TRK10115285"/>
    <x v="1"/>
    <n v="7"/>
    <x v="2"/>
    <n v="9434"/>
    <n v="2264.16"/>
    <n v="7169.84"/>
  </r>
  <r>
    <s v="ORD200560"/>
    <x v="425"/>
    <s v="C33634"/>
    <x v="0"/>
    <n v="2"/>
    <n v="4905"/>
    <n v="0.14000000000000001"/>
    <s v="524 Main St"/>
    <x v="3"/>
    <s v="TRK93168008"/>
    <x v="2"/>
    <n v="7"/>
    <x v="2"/>
    <n v="9810"/>
    <n v="1373.4"/>
    <n v="8436.6"/>
  </r>
  <r>
    <s v="ORD200561"/>
    <x v="425"/>
    <s v="C96822"/>
    <x v="4"/>
    <n v="3"/>
    <n v="9374"/>
    <n v="0.35"/>
    <s v="198 Main St"/>
    <x v="1"/>
    <s v="TRK89180077"/>
    <x v="0"/>
    <n v="2"/>
    <x v="4"/>
    <n v="28122"/>
    <n v="9842.6999999999989"/>
    <n v="18279.300000000003"/>
  </r>
  <r>
    <s v="ORD200562"/>
    <x v="426"/>
    <s v="C76675"/>
    <x v="5"/>
    <n v="1"/>
    <n v="41406"/>
    <n v="0.26"/>
    <s v="922 Main St"/>
    <x v="3"/>
    <s v="TRK28043915"/>
    <x v="1"/>
    <n v="6"/>
    <x v="2"/>
    <n v="41406"/>
    <n v="10765.56"/>
    <n v="30640.440000000002"/>
  </r>
  <r>
    <s v="ORD200563"/>
    <x v="427"/>
    <s v="C12039"/>
    <x v="5"/>
    <n v="2"/>
    <n v="47649"/>
    <n v="0.04"/>
    <s v="844 Main St"/>
    <x v="0"/>
    <s v="TRK68645763"/>
    <x v="0"/>
    <n v="1"/>
    <x v="1"/>
    <n v="95298"/>
    <n v="3811.92"/>
    <n v="91486.080000000002"/>
  </r>
  <r>
    <s v="ORD200564"/>
    <x v="428"/>
    <s v="C93309"/>
    <x v="6"/>
    <n v="2"/>
    <n v="2586"/>
    <n v="0"/>
    <s v="734 Main St"/>
    <x v="2"/>
    <s v="TRK99446987"/>
    <x v="0"/>
    <n v="5"/>
    <x v="4"/>
    <n v="5172"/>
    <n v="0"/>
    <n v="5172"/>
  </r>
  <r>
    <s v="ORD200565"/>
    <x v="429"/>
    <s v="C62042"/>
    <x v="2"/>
    <n v="3"/>
    <n v="10376"/>
    <n v="0.01"/>
    <s v="214 Main St"/>
    <x v="1"/>
    <s v="TRK42605492"/>
    <x v="2"/>
    <n v="10"/>
    <x v="3"/>
    <n v="31128"/>
    <n v="311.28000000000003"/>
    <n v="30816.720000000001"/>
  </r>
  <r>
    <s v="ORD200566"/>
    <x v="171"/>
    <s v="C83223"/>
    <x v="1"/>
    <n v="3"/>
    <n v="32034"/>
    <n v="0.04"/>
    <s v="167 Main St"/>
    <x v="4"/>
    <s v="TRK54339083"/>
    <x v="0"/>
    <n v="7"/>
    <x v="2"/>
    <n v="96102"/>
    <n v="3844.08"/>
    <n v="92257.919999999998"/>
  </r>
  <r>
    <s v="ORD200567"/>
    <x v="430"/>
    <s v="C92575"/>
    <x v="3"/>
    <n v="1"/>
    <n v="20973"/>
    <n v="0.19"/>
    <s v="153 Main St"/>
    <x v="4"/>
    <s v="TRK53579227"/>
    <x v="0"/>
    <n v="10"/>
    <x v="2"/>
    <n v="20973"/>
    <n v="3984.87"/>
    <n v="16988.13"/>
  </r>
  <r>
    <s v="ORD200568"/>
    <x v="401"/>
    <s v="C29072"/>
    <x v="5"/>
    <n v="3"/>
    <n v="20516"/>
    <n v="0.15"/>
    <s v="312 Main St"/>
    <x v="1"/>
    <s v="TRK72334047"/>
    <x v="1"/>
    <n v="4"/>
    <x v="4"/>
    <n v="61548"/>
    <n v="9232.1999999999989"/>
    <n v="52315.8"/>
  </r>
  <r>
    <s v="ORD200569"/>
    <x v="29"/>
    <s v="C25783"/>
    <x v="6"/>
    <n v="1"/>
    <n v="9643"/>
    <n v="0.08"/>
    <s v="672 Main St"/>
    <x v="4"/>
    <s v="TRK13289741"/>
    <x v="0"/>
    <n v="8"/>
    <x v="0"/>
    <n v="9643"/>
    <n v="771.44"/>
    <n v="8871.56"/>
  </r>
  <r>
    <s v="ORD200570"/>
    <x v="431"/>
    <s v="C63727"/>
    <x v="6"/>
    <n v="3"/>
    <n v="8229"/>
    <n v="0.26"/>
    <s v="122 Main St"/>
    <x v="0"/>
    <s v="TRK13611021"/>
    <x v="2"/>
    <n v="2"/>
    <x v="0"/>
    <n v="24687"/>
    <n v="6418.62"/>
    <n v="18268.38"/>
  </r>
  <r>
    <s v="ORD200571"/>
    <x v="432"/>
    <s v="C42365"/>
    <x v="2"/>
    <n v="2"/>
    <n v="2323"/>
    <n v="0.49"/>
    <s v="867 Main St"/>
    <x v="3"/>
    <s v="TRK39563288"/>
    <x v="1"/>
    <n v="2"/>
    <x v="4"/>
    <n v="4646"/>
    <n v="2276.54"/>
    <n v="2369.46"/>
  </r>
  <r>
    <s v="ORD200572"/>
    <x v="433"/>
    <s v="C27438"/>
    <x v="4"/>
    <n v="2"/>
    <n v="9570"/>
    <n v="0.08"/>
    <s v="341 Main St"/>
    <x v="4"/>
    <s v="TRK69125497"/>
    <x v="2"/>
    <n v="4"/>
    <x v="3"/>
    <n v="19140"/>
    <n v="1531.2"/>
    <n v="17608.8"/>
  </r>
  <r>
    <s v="ORD200573"/>
    <x v="261"/>
    <s v="C13205"/>
    <x v="3"/>
    <n v="1"/>
    <n v="16512"/>
    <n v="0.13"/>
    <s v="522 Main St"/>
    <x v="0"/>
    <s v="TRK30686578"/>
    <x v="0"/>
    <n v="7"/>
    <x v="0"/>
    <n v="16512"/>
    <n v="2146.56"/>
    <n v="14365.44"/>
  </r>
  <r>
    <s v="ORD200574"/>
    <x v="434"/>
    <s v="C29685"/>
    <x v="3"/>
    <n v="3"/>
    <n v="43713"/>
    <n v="0.23"/>
    <s v="275 Main St"/>
    <x v="2"/>
    <s v="TRK97733212"/>
    <x v="2"/>
    <n v="6"/>
    <x v="2"/>
    <n v="131139"/>
    <n v="30161.97"/>
    <n v="100977.03"/>
  </r>
  <r>
    <s v="ORD200575"/>
    <x v="323"/>
    <s v="C74005"/>
    <x v="3"/>
    <n v="2"/>
    <n v="30957"/>
    <n v="0.32"/>
    <s v="528 Main St"/>
    <x v="3"/>
    <s v="TRK61640534"/>
    <x v="0"/>
    <n v="7"/>
    <x v="4"/>
    <n v="61914"/>
    <n v="19812.48"/>
    <n v="42101.520000000004"/>
  </r>
  <r>
    <s v="ORD200576"/>
    <x v="382"/>
    <s v="C14457"/>
    <x v="5"/>
    <n v="2"/>
    <n v="69830"/>
    <n v="0.3"/>
    <s v="747 Main St"/>
    <x v="4"/>
    <s v="TRK42517811"/>
    <x v="2"/>
    <n v="8"/>
    <x v="3"/>
    <n v="139660"/>
    <n v="41898"/>
    <n v="97762"/>
  </r>
  <r>
    <s v="ORD200577"/>
    <x v="55"/>
    <s v="C77046"/>
    <x v="2"/>
    <n v="1"/>
    <n v="16593"/>
    <n v="0.26"/>
    <s v="967 Main St"/>
    <x v="1"/>
    <s v="TRK44401497"/>
    <x v="2"/>
    <n v="9"/>
    <x v="4"/>
    <n v="16593"/>
    <n v="4314.18"/>
    <n v="12278.82"/>
  </r>
  <r>
    <s v="ORD200578"/>
    <x v="84"/>
    <s v="C50415"/>
    <x v="0"/>
    <n v="2"/>
    <n v="4917"/>
    <n v="0.37"/>
    <s v="587 Main St"/>
    <x v="2"/>
    <s v="TRK41345634"/>
    <x v="1"/>
    <n v="6"/>
    <x v="0"/>
    <n v="9834"/>
    <n v="3638.58"/>
    <n v="6195.42"/>
  </r>
  <r>
    <s v="ORD200579"/>
    <x v="243"/>
    <s v="C73999"/>
    <x v="2"/>
    <n v="1"/>
    <n v="7359"/>
    <n v="0.42"/>
    <s v="413 Main St"/>
    <x v="1"/>
    <s v="TRK67919507"/>
    <x v="0"/>
    <n v="4"/>
    <x v="3"/>
    <n v="7359"/>
    <n v="3090.7799999999997"/>
    <n v="4268.22"/>
  </r>
  <r>
    <s v="ORD200580"/>
    <x v="414"/>
    <s v="C71076"/>
    <x v="0"/>
    <n v="1"/>
    <n v="5651"/>
    <n v="0.5"/>
    <s v="340 Main St"/>
    <x v="2"/>
    <s v="TRK65148292"/>
    <x v="1"/>
    <n v="4"/>
    <x v="0"/>
    <n v="5651"/>
    <n v="2825.5"/>
    <n v="2825.5"/>
  </r>
  <r>
    <s v="ORD200581"/>
    <x v="435"/>
    <s v="C44674"/>
    <x v="5"/>
    <n v="1"/>
    <n v="40884"/>
    <n v="0.23"/>
    <s v="942 Main St"/>
    <x v="1"/>
    <s v="TRK87158684"/>
    <x v="1"/>
    <n v="1"/>
    <x v="1"/>
    <n v="40884"/>
    <n v="9403.32"/>
    <n v="31480.68"/>
  </r>
  <r>
    <s v="ORD200582"/>
    <x v="436"/>
    <s v="C15228"/>
    <x v="2"/>
    <n v="3"/>
    <n v="2681"/>
    <n v="0.5"/>
    <s v="558 Main St"/>
    <x v="3"/>
    <s v="TRK33860620"/>
    <x v="0"/>
    <n v="8"/>
    <x v="4"/>
    <n v="8043"/>
    <n v="4021.5"/>
    <n v="4021.5"/>
  </r>
  <r>
    <s v="ORD200583"/>
    <x v="437"/>
    <s v="C27072"/>
    <x v="3"/>
    <n v="1"/>
    <n v="40830"/>
    <n v="0.37"/>
    <s v="996 Main St"/>
    <x v="3"/>
    <s v="TRK29750379"/>
    <x v="1"/>
    <n v="4"/>
    <x v="0"/>
    <n v="40830"/>
    <n v="15107.1"/>
    <n v="25722.9"/>
  </r>
  <r>
    <s v="ORD200584"/>
    <x v="438"/>
    <s v="C15257"/>
    <x v="3"/>
    <n v="2"/>
    <n v="20498"/>
    <n v="0.33"/>
    <s v="626 Main St"/>
    <x v="1"/>
    <s v="TRK28779938"/>
    <x v="1"/>
    <n v="6"/>
    <x v="4"/>
    <n v="40996"/>
    <n v="13528.68"/>
    <n v="27467.32"/>
  </r>
  <r>
    <s v="ORD200585"/>
    <x v="38"/>
    <s v="C91486"/>
    <x v="2"/>
    <n v="3"/>
    <n v="11377"/>
    <n v="0.32"/>
    <s v="907 Main St"/>
    <x v="4"/>
    <s v="TRK79617136"/>
    <x v="0"/>
    <n v="8"/>
    <x v="4"/>
    <n v="34131"/>
    <n v="10921.92"/>
    <n v="23209.08"/>
  </r>
  <r>
    <s v="ORD200586"/>
    <x v="337"/>
    <s v="C17389"/>
    <x v="0"/>
    <n v="1"/>
    <n v="1509"/>
    <n v="0.46"/>
    <s v="905 Main St"/>
    <x v="3"/>
    <s v="TRK98857880"/>
    <x v="0"/>
    <n v="5"/>
    <x v="1"/>
    <n v="1509"/>
    <n v="694.14"/>
    <n v="814.86"/>
  </r>
  <r>
    <s v="ORD200587"/>
    <x v="439"/>
    <s v="C18820"/>
    <x v="0"/>
    <n v="2"/>
    <n v="6700"/>
    <n v="0.47"/>
    <s v="347 Main St"/>
    <x v="3"/>
    <s v="TRK91547425"/>
    <x v="1"/>
    <n v="10"/>
    <x v="0"/>
    <n v="13400"/>
    <n v="6298"/>
    <n v="7102"/>
  </r>
  <r>
    <s v="ORD200588"/>
    <x v="440"/>
    <s v="C61849"/>
    <x v="0"/>
    <n v="3"/>
    <n v="7226"/>
    <n v="0.09"/>
    <s v="811 Main St"/>
    <x v="2"/>
    <s v="TRK47613918"/>
    <x v="1"/>
    <n v="9"/>
    <x v="4"/>
    <n v="21678"/>
    <n v="1951.02"/>
    <n v="19726.98"/>
  </r>
  <r>
    <s v="ORD200589"/>
    <x v="441"/>
    <s v="C84041"/>
    <x v="5"/>
    <n v="2"/>
    <n v="21704"/>
    <n v="0.25"/>
    <s v="900 Main St"/>
    <x v="4"/>
    <s v="TRK84920444"/>
    <x v="1"/>
    <n v="3"/>
    <x v="1"/>
    <n v="43408"/>
    <n v="10852"/>
    <n v="32556"/>
  </r>
  <r>
    <s v="ORD200590"/>
    <x v="442"/>
    <s v="C55757"/>
    <x v="4"/>
    <n v="2"/>
    <n v="8168"/>
    <n v="0.47"/>
    <s v="175 Main St"/>
    <x v="3"/>
    <s v="TRK27356242"/>
    <x v="1"/>
    <n v="4"/>
    <x v="2"/>
    <n v="16336"/>
    <n v="7677.9199999999992"/>
    <n v="8658.0800000000017"/>
  </r>
  <r>
    <s v="ORD200591"/>
    <x v="249"/>
    <s v="C18187"/>
    <x v="5"/>
    <n v="2"/>
    <n v="74689"/>
    <n v="0.19"/>
    <s v="470 Main St"/>
    <x v="3"/>
    <s v="TRK50528185"/>
    <x v="0"/>
    <n v="3"/>
    <x v="1"/>
    <n v="149378"/>
    <n v="28381.82"/>
    <n v="120996.18"/>
  </r>
  <r>
    <s v="ORD200592"/>
    <x v="234"/>
    <s v="C42306"/>
    <x v="1"/>
    <n v="3"/>
    <n v="24846"/>
    <n v="0.12"/>
    <s v="938 Main St"/>
    <x v="1"/>
    <s v="TRK15499648"/>
    <x v="2"/>
    <n v="4"/>
    <x v="4"/>
    <n v="74538"/>
    <n v="8944.56"/>
    <n v="65593.440000000002"/>
  </r>
  <r>
    <s v="ORD200593"/>
    <x v="443"/>
    <s v="C51024"/>
    <x v="0"/>
    <n v="3"/>
    <n v="9108"/>
    <n v="0.05"/>
    <s v="636 Main St"/>
    <x v="3"/>
    <s v="TRK31375086"/>
    <x v="0"/>
    <n v="4"/>
    <x v="3"/>
    <n v="27324"/>
    <n v="1366.2"/>
    <n v="25957.8"/>
  </r>
  <r>
    <s v="ORD200594"/>
    <x v="444"/>
    <s v="C40140"/>
    <x v="1"/>
    <n v="1"/>
    <n v="33516"/>
    <n v="0.3"/>
    <s v="598 Main St"/>
    <x v="2"/>
    <s v="TRK12671989"/>
    <x v="0"/>
    <n v="7"/>
    <x v="2"/>
    <n v="33516"/>
    <n v="10054.799999999999"/>
    <n v="23461.200000000001"/>
  </r>
  <r>
    <s v="ORD200595"/>
    <x v="445"/>
    <s v="C72596"/>
    <x v="4"/>
    <n v="3"/>
    <n v="6359"/>
    <n v="0.35"/>
    <s v="491 Main St"/>
    <x v="1"/>
    <s v="TRK83870446"/>
    <x v="2"/>
    <n v="7"/>
    <x v="2"/>
    <n v="19077"/>
    <n v="6676.95"/>
    <n v="12400.05"/>
  </r>
  <r>
    <s v="ORD200596"/>
    <x v="439"/>
    <s v="C91805"/>
    <x v="6"/>
    <n v="1"/>
    <n v="4958"/>
    <n v="0.1"/>
    <s v="653 Main St"/>
    <x v="0"/>
    <s v="TRK34504030"/>
    <x v="1"/>
    <n v="7"/>
    <x v="3"/>
    <n v="4958"/>
    <n v="495.8"/>
    <n v="4462.2"/>
  </r>
  <r>
    <s v="ORD200597"/>
    <x v="446"/>
    <s v="C40538"/>
    <x v="6"/>
    <n v="3"/>
    <n v="2139"/>
    <n v="0.34"/>
    <s v="700 Main St"/>
    <x v="3"/>
    <s v="TRK29821356"/>
    <x v="1"/>
    <n v="4"/>
    <x v="2"/>
    <n v="6417"/>
    <n v="2181.7800000000002"/>
    <n v="4235.2199999999993"/>
  </r>
  <r>
    <s v="ORD200598"/>
    <x v="447"/>
    <s v="C60329"/>
    <x v="6"/>
    <n v="3"/>
    <n v="7401"/>
    <n v="0.45"/>
    <s v="826 Main St"/>
    <x v="2"/>
    <s v="TRK59069987"/>
    <x v="2"/>
    <n v="5"/>
    <x v="3"/>
    <n v="22203"/>
    <n v="9991.35"/>
    <n v="12211.65"/>
  </r>
  <r>
    <s v="ORD200599"/>
    <x v="30"/>
    <s v="C28740"/>
    <x v="3"/>
    <n v="1"/>
    <n v="43431"/>
    <n v="0.12"/>
    <s v="123 Main St"/>
    <x v="1"/>
    <s v="TRK33642221"/>
    <x v="1"/>
    <n v="4"/>
    <x v="3"/>
    <n v="43431"/>
    <n v="5211.72"/>
    <n v="38219.279999999999"/>
  </r>
  <r>
    <s v="ORD200600"/>
    <x v="68"/>
    <s v="C87051"/>
    <x v="4"/>
    <n v="3"/>
    <n v="6930"/>
    <n v="0.06"/>
    <s v="460 Main St"/>
    <x v="3"/>
    <s v="TRK82056333"/>
    <x v="1"/>
    <n v="1"/>
    <x v="3"/>
    <n v="20790"/>
    <n v="1247.3999999999999"/>
    <n v="19542.599999999999"/>
  </r>
  <r>
    <s v="ORD200601"/>
    <x v="276"/>
    <s v="C12479"/>
    <x v="0"/>
    <n v="2"/>
    <n v="5027"/>
    <n v="0.42"/>
    <s v="529 Main St"/>
    <x v="2"/>
    <s v="TRK73935314"/>
    <x v="0"/>
    <n v="10"/>
    <x v="1"/>
    <n v="10054"/>
    <n v="4222.68"/>
    <n v="5831.32"/>
  </r>
  <r>
    <s v="ORD200602"/>
    <x v="448"/>
    <s v="C35852"/>
    <x v="2"/>
    <n v="1"/>
    <n v="4903"/>
    <n v="0.46"/>
    <s v="982 Main St"/>
    <x v="1"/>
    <s v="TRK64660134"/>
    <x v="2"/>
    <n v="5"/>
    <x v="0"/>
    <n v="4903"/>
    <n v="2255.38"/>
    <n v="2647.62"/>
  </r>
  <r>
    <s v="ORD200603"/>
    <x v="449"/>
    <s v="C26223"/>
    <x v="2"/>
    <n v="3"/>
    <n v="2806"/>
    <n v="0.11"/>
    <s v="800 Main St"/>
    <x v="4"/>
    <s v="TRK50900547"/>
    <x v="2"/>
    <n v="4"/>
    <x v="4"/>
    <n v="8418"/>
    <n v="925.98"/>
    <n v="7492.02"/>
  </r>
  <r>
    <s v="ORD200604"/>
    <x v="450"/>
    <s v="C99214"/>
    <x v="3"/>
    <n v="3"/>
    <n v="15745"/>
    <n v="0.36"/>
    <s v="252 Main St"/>
    <x v="0"/>
    <s v="TRK81368481"/>
    <x v="1"/>
    <n v="6"/>
    <x v="3"/>
    <n v="47235"/>
    <n v="17004.599999999999"/>
    <n v="30230.400000000001"/>
  </r>
  <r>
    <s v="ORD200605"/>
    <x v="451"/>
    <s v="C49605"/>
    <x v="0"/>
    <n v="3"/>
    <n v="5763"/>
    <n v="0.3"/>
    <s v="892 Main St"/>
    <x v="0"/>
    <s v="TRK95620066"/>
    <x v="0"/>
    <n v="4"/>
    <x v="1"/>
    <n v="17289"/>
    <n v="5186.7"/>
    <n v="12102.3"/>
  </r>
  <r>
    <s v="ORD200606"/>
    <x v="119"/>
    <s v="C85018"/>
    <x v="5"/>
    <n v="1"/>
    <n v="44510"/>
    <n v="0.12"/>
    <s v="783 Main St"/>
    <x v="4"/>
    <s v="TRK54128886"/>
    <x v="2"/>
    <n v="3"/>
    <x v="4"/>
    <n v="44510"/>
    <n v="5341.2"/>
    <n v="39168.800000000003"/>
  </r>
  <r>
    <s v="ORD200607"/>
    <x v="133"/>
    <s v="C96434"/>
    <x v="4"/>
    <n v="1"/>
    <n v="5231"/>
    <n v="0.41"/>
    <s v="282 Main St"/>
    <x v="4"/>
    <s v="TRK56730647"/>
    <x v="0"/>
    <n v="6"/>
    <x v="4"/>
    <n v="5231"/>
    <n v="2144.71"/>
    <n v="3086.29"/>
  </r>
  <r>
    <s v="ORD200608"/>
    <x v="25"/>
    <s v="C32956"/>
    <x v="5"/>
    <n v="3"/>
    <n v="74203"/>
    <n v="0.24"/>
    <s v="788 Main St"/>
    <x v="1"/>
    <s v="TRK73140103"/>
    <x v="1"/>
    <n v="6"/>
    <x v="0"/>
    <n v="222609"/>
    <n v="53426.159999999996"/>
    <n v="169182.84"/>
  </r>
  <r>
    <s v="ORD200609"/>
    <x v="109"/>
    <s v="C41137"/>
    <x v="3"/>
    <n v="2"/>
    <n v="36039"/>
    <n v="0.35"/>
    <s v="809 Main St"/>
    <x v="4"/>
    <s v="TRK52732162"/>
    <x v="2"/>
    <n v="5"/>
    <x v="1"/>
    <n v="72078"/>
    <n v="25227.3"/>
    <n v="46850.7"/>
  </r>
  <r>
    <s v="ORD200610"/>
    <x v="452"/>
    <s v="C60361"/>
    <x v="6"/>
    <n v="3"/>
    <n v="2151"/>
    <n v="0.15"/>
    <s v="623 Main St"/>
    <x v="4"/>
    <s v="TRK83566924"/>
    <x v="2"/>
    <n v="7"/>
    <x v="3"/>
    <n v="6453"/>
    <n v="967.94999999999993"/>
    <n v="5485.05"/>
  </r>
  <r>
    <s v="ORD200611"/>
    <x v="453"/>
    <s v="C36688"/>
    <x v="6"/>
    <n v="1"/>
    <n v="6246"/>
    <n v="0.41"/>
    <s v="700 Main St"/>
    <x v="3"/>
    <s v="TRK35720426"/>
    <x v="1"/>
    <n v="3"/>
    <x v="1"/>
    <n v="6246"/>
    <n v="2560.8599999999997"/>
    <n v="3685.1400000000003"/>
  </r>
  <r>
    <s v="ORD200612"/>
    <x v="454"/>
    <s v="C51811"/>
    <x v="3"/>
    <n v="1"/>
    <n v="24920"/>
    <n v="0.13"/>
    <s v="339 Main St"/>
    <x v="3"/>
    <s v="TRK82377939"/>
    <x v="2"/>
    <n v="8"/>
    <x v="4"/>
    <n v="24920"/>
    <n v="3239.6"/>
    <n v="21680.400000000001"/>
  </r>
  <r>
    <s v="ORD200613"/>
    <x v="36"/>
    <s v="C62405"/>
    <x v="5"/>
    <n v="2"/>
    <n v="39774"/>
    <n v="0.18"/>
    <s v="154 Main St"/>
    <x v="1"/>
    <s v="TRK14721763"/>
    <x v="0"/>
    <n v="4"/>
    <x v="2"/>
    <n v="79548"/>
    <n v="14318.64"/>
    <n v="65229.36"/>
  </r>
  <r>
    <s v="ORD200614"/>
    <x v="455"/>
    <s v="C77363"/>
    <x v="1"/>
    <n v="2"/>
    <n v="41803"/>
    <n v="0.2"/>
    <s v="807 Main St"/>
    <x v="3"/>
    <s v="TRK12439827"/>
    <x v="0"/>
    <n v="3"/>
    <x v="1"/>
    <n v="83606"/>
    <n v="16721.2"/>
    <n v="66884.800000000003"/>
  </r>
  <r>
    <s v="ORD200615"/>
    <x v="456"/>
    <s v="C97218"/>
    <x v="0"/>
    <n v="3"/>
    <n v="4012"/>
    <n v="0.1"/>
    <s v="252 Main St"/>
    <x v="2"/>
    <s v="TRK52632065"/>
    <x v="1"/>
    <n v="10"/>
    <x v="3"/>
    <n v="12036"/>
    <n v="1203.6000000000001"/>
    <n v="10832.4"/>
  </r>
  <r>
    <s v="ORD200616"/>
    <x v="457"/>
    <s v="C43919"/>
    <x v="2"/>
    <n v="1"/>
    <n v="5229"/>
    <n v="0.44"/>
    <s v="984 Main St"/>
    <x v="2"/>
    <s v="TRK73113192"/>
    <x v="2"/>
    <n v="7"/>
    <x v="3"/>
    <n v="5229"/>
    <n v="2300.7600000000002"/>
    <n v="2928.24"/>
  </r>
  <r>
    <s v="ORD200617"/>
    <x v="458"/>
    <s v="C57093"/>
    <x v="2"/>
    <n v="3"/>
    <n v="16670"/>
    <n v="0.06"/>
    <s v="834 Main St"/>
    <x v="1"/>
    <s v="TRK75469057"/>
    <x v="0"/>
    <n v="4"/>
    <x v="1"/>
    <n v="50010"/>
    <n v="3000.6"/>
    <n v="47009.4"/>
  </r>
  <r>
    <s v="ORD200618"/>
    <x v="459"/>
    <s v="C50565"/>
    <x v="2"/>
    <n v="3"/>
    <n v="16419"/>
    <n v="0.28000000000000003"/>
    <s v="399 Main St"/>
    <x v="0"/>
    <s v="TRK97981418"/>
    <x v="2"/>
    <n v="5"/>
    <x v="0"/>
    <n v="49257"/>
    <n v="13791.960000000001"/>
    <n v="35465.040000000001"/>
  </r>
  <r>
    <s v="ORD200619"/>
    <x v="424"/>
    <s v="C38845"/>
    <x v="5"/>
    <n v="3"/>
    <n v="53081"/>
    <n v="0.41"/>
    <s v="764 Main St"/>
    <x v="3"/>
    <s v="TRK47637374"/>
    <x v="2"/>
    <n v="2"/>
    <x v="1"/>
    <n v="159243"/>
    <n v="65289.63"/>
    <n v="93953.37"/>
  </r>
  <r>
    <s v="ORD200620"/>
    <x v="460"/>
    <s v="C84834"/>
    <x v="2"/>
    <n v="3"/>
    <n v="11375"/>
    <n v="0.28999999999999998"/>
    <s v="866 Main St"/>
    <x v="0"/>
    <s v="TRK90136001"/>
    <x v="1"/>
    <n v="8"/>
    <x v="1"/>
    <n v="34125"/>
    <n v="9896.25"/>
    <n v="24228.75"/>
  </r>
  <r>
    <s v="ORD200621"/>
    <x v="356"/>
    <s v="C37455"/>
    <x v="1"/>
    <n v="2"/>
    <n v="47902"/>
    <n v="0.16"/>
    <s v="146 Main St"/>
    <x v="2"/>
    <s v="TRK82685594"/>
    <x v="1"/>
    <n v="7"/>
    <x v="4"/>
    <n v="95804"/>
    <n v="15328.64"/>
    <n v="80475.360000000001"/>
  </r>
  <r>
    <s v="ORD200622"/>
    <x v="461"/>
    <s v="C27078"/>
    <x v="6"/>
    <n v="2"/>
    <n v="8676"/>
    <n v="0.39"/>
    <s v="128 Main St"/>
    <x v="2"/>
    <s v="TRK89314307"/>
    <x v="2"/>
    <n v="7"/>
    <x v="3"/>
    <n v="17352"/>
    <n v="6767.2800000000007"/>
    <n v="10584.72"/>
  </r>
  <r>
    <s v="ORD200623"/>
    <x v="379"/>
    <s v="C91941"/>
    <x v="4"/>
    <n v="1"/>
    <n v="9919"/>
    <n v="0.25"/>
    <s v="269 Main St"/>
    <x v="3"/>
    <s v="TRK21330732"/>
    <x v="1"/>
    <n v="4"/>
    <x v="0"/>
    <n v="9919"/>
    <n v="2479.75"/>
    <n v="7439.25"/>
  </r>
  <r>
    <s v="ORD200624"/>
    <x v="462"/>
    <s v="C25967"/>
    <x v="2"/>
    <n v="2"/>
    <n v="8117"/>
    <n v="0.08"/>
    <s v="747 Main St"/>
    <x v="0"/>
    <s v="TRK88559278"/>
    <x v="1"/>
    <n v="6"/>
    <x v="2"/>
    <n v="16234"/>
    <n v="1298.72"/>
    <n v="14935.28"/>
  </r>
  <r>
    <s v="ORD200625"/>
    <x v="463"/>
    <s v="C22123"/>
    <x v="2"/>
    <n v="2"/>
    <n v="1584"/>
    <n v="0.16"/>
    <s v="519 Main St"/>
    <x v="2"/>
    <s v="TRK43250279"/>
    <x v="2"/>
    <n v="1"/>
    <x v="2"/>
    <n v="3168"/>
    <n v="506.88"/>
    <n v="2661.12"/>
  </r>
  <r>
    <s v="ORD200626"/>
    <x v="417"/>
    <s v="C45671"/>
    <x v="2"/>
    <n v="3"/>
    <n v="6217"/>
    <n v="0.3"/>
    <s v="769 Main St"/>
    <x v="1"/>
    <s v="TRK18179773"/>
    <x v="0"/>
    <n v="5"/>
    <x v="1"/>
    <n v="18651"/>
    <n v="5595.3"/>
    <n v="13055.7"/>
  </r>
  <r>
    <s v="ORD200627"/>
    <x v="464"/>
    <s v="C53334"/>
    <x v="3"/>
    <n v="2"/>
    <n v="33896"/>
    <n v="0.33"/>
    <s v="879 Main St"/>
    <x v="1"/>
    <s v="TRK31724421"/>
    <x v="1"/>
    <n v="4"/>
    <x v="2"/>
    <n v="67792"/>
    <n v="22371.360000000001"/>
    <n v="45420.639999999999"/>
  </r>
  <r>
    <s v="ORD200628"/>
    <x v="465"/>
    <s v="C18717"/>
    <x v="4"/>
    <n v="2"/>
    <n v="8058"/>
    <n v="0.27"/>
    <s v="861 Main St"/>
    <x v="4"/>
    <s v="TRK58568806"/>
    <x v="2"/>
    <n v="8"/>
    <x v="1"/>
    <n v="16116"/>
    <n v="4351.3200000000006"/>
    <n v="11764.68"/>
  </r>
  <r>
    <s v="ORD200629"/>
    <x v="466"/>
    <s v="C50137"/>
    <x v="1"/>
    <n v="1"/>
    <n v="44247"/>
    <n v="0.14000000000000001"/>
    <s v="840 Main St"/>
    <x v="1"/>
    <s v="TRK91836131"/>
    <x v="2"/>
    <n v="3"/>
    <x v="1"/>
    <n v="44247"/>
    <n v="6194.5800000000008"/>
    <n v="38052.42"/>
  </r>
  <r>
    <s v="ORD200630"/>
    <x v="467"/>
    <s v="C51481"/>
    <x v="0"/>
    <n v="1"/>
    <n v="3739"/>
    <n v="0.3"/>
    <s v="140 Main St"/>
    <x v="0"/>
    <s v="TRK33437701"/>
    <x v="0"/>
    <n v="10"/>
    <x v="0"/>
    <n v="3739"/>
    <n v="1121.7"/>
    <n v="2617.3000000000002"/>
  </r>
  <r>
    <s v="ORD200631"/>
    <x v="169"/>
    <s v="C99128"/>
    <x v="3"/>
    <n v="2"/>
    <n v="23731"/>
    <n v="0.17"/>
    <s v="360 Main St"/>
    <x v="3"/>
    <s v="TRK32426808"/>
    <x v="1"/>
    <n v="5"/>
    <x v="1"/>
    <n v="47462"/>
    <n v="8068.5400000000009"/>
    <n v="39393.46"/>
  </r>
  <r>
    <s v="ORD200632"/>
    <x v="468"/>
    <s v="C67260"/>
    <x v="5"/>
    <n v="1"/>
    <n v="39999"/>
    <n v="0.11"/>
    <s v="463 Main St"/>
    <x v="3"/>
    <s v="TRK38229104"/>
    <x v="1"/>
    <n v="7"/>
    <x v="3"/>
    <n v="39999"/>
    <n v="4399.8900000000003"/>
    <n v="35599.11"/>
  </r>
  <r>
    <s v="ORD200633"/>
    <x v="294"/>
    <s v="C79533"/>
    <x v="5"/>
    <n v="3"/>
    <n v="60158"/>
    <n v="0.47"/>
    <s v="921 Main St"/>
    <x v="3"/>
    <s v="TRK54711422"/>
    <x v="2"/>
    <n v="5"/>
    <x v="0"/>
    <n v="180474"/>
    <n v="84822.78"/>
    <n v="95651.22"/>
  </r>
  <r>
    <s v="ORD200634"/>
    <x v="313"/>
    <s v="C66906"/>
    <x v="4"/>
    <n v="1"/>
    <n v="8224"/>
    <n v="0.16"/>
    <s v="117 Main St"/>
    <x v="3"/>
    <s v="TRK31633755"/>
    <x v="1"/>
    <n v="2"/>
    <x v="1"/>
    <n v="8224"/>
    <n v="1315.84"/>
    <n v="6908.16"/>
  </r>
  <r>
    <s v="ORD200635"/>
    <x v="141"/>
    <s v="C12818"/>
    <x v="3"/>
    <n v="3"/>
    <n v="36672"/>
    <n v="0.17"/>
    <s v="434 Main St"/>
    <x v="4"/>
    <s v="TRK40879983"/>
    <x v="1"/>
    <n v="6"/>
    <x v="3"/>
    <n v="110016"/>
    <n v="18702.72"/>
    <n v="91313.279999999999"/>
  </r>
  <r>
    <s v="ORD200636"/>
    <x v="469"/>
    <s v="C60384"/>
    <x v="5"/>
    <n v="3"/>
    <n v="70155"/>
    <n v="0.45"/>
    <s v="336 Main St"/>
    <x v="4"/>
    <s v="TRK92080037"/>
    <x v="2"/>
    <n v="7"/>
    <x v="3"/>
    <n v="210465"/>
    <n v="94709.25"/>
    <n v="115755.75"/>
  </r>
  <r>
    <s v="ORD200637"/>
    <x v="470"/>
    <s v="C92294"/>
    <x v="3"/>
    <n v="2"/>
    <n v="47617"/>
    <n v="7.0000000000000007E-2"/>
    <s v="784 Main St"/>
    <x v="3"/>
    <s v="TRK23585765"/>
    <x v="0"/>
    <n v="7"/>
    <x v="1"/>
    <n v="95234"/>
    <n v="6666.380000000001"/>
    <n v="88567.62"/>
  </r>
  <r>
    <s v="ORD200638"/>
    <x v="3"/>
    <s v="C66840"/>
    <x v="2"/>
    <n v="3"/>
    <n v="15131"/>
    <n v="0.28999999999999998"/>
    <s v="547 Main St"/>
    <x v="1"/>
    <s v="TRK76929637"/>
    <x v="1"/>
    <n v="9"/>
    <x v="2"/>
    <n v="45393"/>
    <n v="13163.97"/>
    <n v="32229.03"/>
  </r>
  <r>
    <s v="ORD200639"/>
    <x v="325"/>
    <s v="C22534"/>
    <x v="3"/>
    <n v="3"/>
    <n v="22257"/>
    <n v="0.39"/>
    <s v="391 Main St"/>
    <x v="4"/>
    <s v="TRK17415798"/>
    <x v="0"/>
    <n v="5"/>
    <x v="1"/>
    <n v="66771"/>
    <n v="26040.690000000002"/>
    <n v="40730.31"/>
  </r>
  <r>
    <s v="ORD200640"/>
    <x v="2"/>
    <s v="C46509"/>
    <x v="3"/>
    <n v="3"/>
    <n v="17976"/>
    <n v="0.14000000000000001"/>
    <s v="647 Main St"/>
    <x v="3"/>
    <s v="TRK24241664"/>
    <x v="1"/>
    <n v="6"/>
    <x v="1"/>
    <n v="53928"/>
    <n v="7549.920000000001"/>
    <n v="46378.080000000002"/>
  </r>
  <r>
    <s v="ORD200641"/>
    <x v="471"/>
    <s v="C71680"/>
    <x v="4"/>
    <n v="2"/>
    <n v="8690"/>
    <n v="0.42"/>
    <s v="814 Main St"/>
    <x v="0"/>
    <s v="TRK47386650"/>
    <x v="2"/>
    <n v="9"/>
    <x v="4"/>
    <n v="17380"/>
    <n v="7299.5999999999995"/>
    <n v="10080.400000000001"/>
  </r>
  <r>
    <s v="ORD200642"/>
    <x v="472"/>
    <s v="C15063"/>
    <x v="3"/>
    <n v="2"/>
    <n v="17557"/>
    <n v="0.38"/>
    <s v="527 Main St"/>
    <x v="2"/>
    <s v="TRK10329390"/>
    <x v="0"/>
    <n v="7"/>
    <x v="2"/>
    <n v="35114"/>
    <n v="13343.32"/>
    <n v="21770.68"/>
  </r>
  <r>
    <s v="ORD200643"/>
    <x v="360"/>
    <s v="C77122"/>
    <x v="5"/>
    <n v="3"/>
    <n v="47594"/>
    <n v="0.24"/>
    <s v="647 Main St"/>
    <x v="4"/>
    <s v="TRK75814880"/>
    <x v="2"/>
    <n v="4"/>
    <x v="1"/>
    <n v="142782"/>
    <n v="34267.68"/>
    <n v="108514.32"/>
  </r>
  <r>
    <s v="ORD200644"/>
    <x v="375"/>
    <s v="C86524"/>
    <x v="3"/>
    <n v="2"/>
    <n v="28864"/>
    <n v="0.06"/>
    <s v="961 Main St"/>
    <x v="4"/>
    <s v="TRK62490506"/>
    <x v="0"/>
    <n v="2"/>
    <x v="2"/>
    <n v="57728"/>
    <n v="3463.68"/>
    <n v="54264.32"/>
  </r>
  <r>
    <s v="ORD200645"/>
    <x v="315"/>
    <s v="C82990"/>
    <x v="5"/>
    <n v="3"/>
    <n v="20978"/>
    <n v="0.49"/>
    <s v="727 Main St"/>
    <x v="2"/>
    <s v="TRK68574801"/>
    <x v="2"/>
    <n v="4"/>
    <x v="3"/>
    <n v="62934"/>
    <n v="30837.66"/>
    <n v="32096.34"/>
  </r>
  <r>
    <s v="ORD200646"/>
    <x v="122"/>
    <s v="C98761"/>
    <x v="3"/>
    <n v="3"/>
    <n v="40970"/>
    <n v="0.31"/>
    <s v="804 Main St"/>
    <x v="0"/>
    <s v="TRK43262630"/>
    <x v="0"/>
    <n v="4"/>
    <x v="4"/>
    <n v="122910"/>
    <n v="38102.1"/>
    <n v="84807.9"/>
  </r>
  <r>
    <s v="ORD200647"/>
    <x v="473"/>
    <s v="C54409"/>
    <x v="6"/>
    <n v="1"/>
    <n v="3489"/>
    <n v="0.26"/>
    <s v="667 Main St"/>
    <x v="4"/>
    <s v="TRK67671316"/>
    <x v="2"/>
    <n v="7"/>
    <x v="4"/>
    <n v="3489"/>
    <n v="907.14"/>
    <n v="2581.86"/>
  </r>
  <r>
    <s v="ORD200648"/>
    <x v="474"/>
    <s v="C89674"/>
    <x v="0"/>
    <n v="2"/>
    <n v="6520"/>
    <n v="0.44"/>
    <s v="182 Main St"/>
    <x v="1"/>
    <s v="TRK45902512"/>
    <x v="1"/>
    <n v="3"/>
    <x v="1"/>
    <n v="13040"/>
    <n v="5737.6"/>
    <n v="7302.4"/>
  </r>
  <r>
    <s v="ORD200649"/>
    <x v="475"/>
    <s v="C45899"/>
    <x v="0"/>
    <n v="3"/>
    <n v="5456"/>
    <n v="0.21"/>
    <s v="153 Main St"/>
    <x v="0"/>
    <s v="TRK32932093"/>
    <x v="1"/>
    <n v="7"/>
    <x v="2"/>
    <n v="16368"/>
    <n v="3437.2799999999997"/>
    <n v="12930.720000000001"/>
  </r>
  <r>
    <s v="ORD200650"/>
    <x v="419"/>
    <s v="C74499"/>
    <x v="6"/>
    <n v="1"/>
    <n v="9966"/>
    <n v="0.28000000000000003"/>
    <s v="518 Main St"/>
    <x v="3"/>
    <s v="TRK93767278"/>
    <x v="1"/>
    <n v="7"/>
    <x v="2"/>
    <n v="9966"/>
    <n v="2790.4800000000005"/>
    <n v="7175.5199999999995"/>
  </r>
  <r>
    <s v="ORD200651"/>
    <x v="476"/>
    <s v="C81192"/>
    <x v="3"/>
    <n v="2"/>
    <n v="31556"/>
    <n v="0.43"/>
    <s v="429 Main St"/>
    <x v="0"/>
    <s v="TRK76931118"/>
    <x v="2"/>
    <n v="5"/>
    <x v="4"/>
    <n v="63112"/>
    <n v="27138.16"/>
    <n v="35973.839999999997"/>
  </r>
  <r>
    <s v="ORD200652"/>
    <x v="477"/>
    <s v="C71473"/>
    <x v="3"/>
    <n v="1"/>
    <n v="23504"/>
    <n v="0.2"/>
    <s v="328 Main St"/>
    <x v="1"/>
    <s v="TRK94857335"/>
    <x v="0"/>
    <n v="8"/>
    <x v="0"/>
    <n v="23504"/>
    <n v="4700.8"/>
    <n v="18803.2"/>
  </r>
  <r>
    <s v="ORD200653"/>
    <x v="402"/>
    <s v="C59338"/>
    <x v="4"/>
    <n v="1"/>
    <n v="9939"/>
    <n v="0.39"/>
    <s v="747 Main St"/>
    <x v="2"/>
    <s v="TRK12902764"/>
    <x v="0"/>
    <n v="6"/>
    <x v="4"/>
    <n v="9939"/>
    <n v="3876.21"/>
    <n v="6062.79"/>
  </r>
  <r>
    <s v="ORD200654"/>
    <x v="439"/>
    <s v="C62661"/>
    <x v="2"/>
    <n v="1"/>
    <n v="7077"/>
    <n v="0.13"/>
    <s v="863 Main St"/>
    <x v="0"/>
    <s v="TRK25748100"/>
    <x v="0"/>
    <n v="8"/>
    <x v="0"/>
    <n v="7077"/>
    <n v="920.01"/>
    <n v="6156.99"/>
  </r>
  <r>
    <s v="ORD200655"/>
    <x v="369"/>
    <s v="C22101"/>
    <x v="3"/>
    <n v="1"/>
    <n v="42253"/>
    <n v="0.35"/>
    <s v="262 Main St"/>
    <x v="0"/>
    <s v="TRK70711522"/>
    <x v="2"/>
    <n v="4"/>
    <x v="2"/>
    <n v="42253"/>
    <n v="14788.55"/>
    <n v="27464.45"/>
  </r>
  <r>
    <s v="ORD200656"/>
    <x v="343"/>
    <s v="C51404"/>
    <x v="0"/>
    <n v="3"/>
    <n v="5985"/>
    <n v="0.26"/>
    <s v="835 Main St"/>
    <x v="3"/>
    <s v="TRK85682500"/>
    <x v="0"/>
    <n v="7"/>
    <x v="3"/>
    <n v="17955"/>
    <n v="4668.3"/>
    <n v="13286.7"/>
  </r>
  <r>
    <s v="ORD200657"/>
    <x v="478"/>
    <s v="C19384"/>
    <x v="2"/>
    <n v="3"/>
    <n v="10352"/>
    <n v="0.08"/>
    <s v="532 Main St"/>
    <x v="4"/>
    <s v="TRK33207064"/>
    <x v="0"/>
    <n v="6"/>
    <x v="0"/>
    <n v="31056"/>
    <n v="2484.48"/>
    <n v="28571.52"/>
  </r>
  <r>
    <s v="ORD200658"/>
    <x v="479"/>
    <s v="C86864"/>
    <x v="4"/>
    <n v="1"/>
    <n v="8421"/>
    <n v="7.0000000000000007E-2"/>
    <s v="670 Main St"/>
    <x v="3"/>
    <s v="TRK15323191"/>
    <x v="0"/>
    <n v="4"/>
    <x v="4"/>
    <n v="8421"/>
    <n v="589.47"/>
    <n v="7831.53"/>
  </r>
  <r>
    <s v="ORD200659"/>
    <x v="480"/>
    <s v="C24301"/>
    <x v="1"/>
    <n v="3"/>
    <n v="46212"/>
    <n v="0.23"/>
    <s v="964 Main St"/>
    <x v="3"/>
    <s v="TRK55000075"/>
    <x v="1"/>
    <n v="4"/>
    <x v="2"/>
    <n v="138636"/>
    <n v="31886.280000000002"/>
    <n v="106749.72"/>
  </r>
  <r>
    <s v="ORD200660"/>
    <x v="481"/>
    <s v="C43842"/>
    <x v="3"/>
    <n v="3"/>
    <n v="23677"/>
    <n v="0.36"/>
    <s v="933 Main St"/>
    <x v="0"/>
    <s v="TRK54084424"/>
    <x v="0"/>
    <n v="7"/>
    <x v="3"/>
    <n v="71031"/>
    <n v="25571.16"/>
    <n v="45459.839999999997"/>
  </r>
  <r>
    <s v="ORD200661"/>
    <x v="252"/>
    <s v="C63657"/>
    <x v="2"/>
    <n v="2"/>
    <n v="14616"/>
    <n v="0.3"/>
    <s v="116 Main St"/>
    <x v="0"/>
    <s v="TRK86378984"/>
    <x v="1"/>
    <n v="6"/>
    <x v="4"/>
    <n v="29232"/>
    <n v="8769.6"/>
    <n v="20462.400000000001"/>
  </r>
  <r>
    <s v="ORD200662"/>
    <x v="423"/>
    <s v="C98332"/>
    <x v="5"/>
    <n v="3"/>
    <n v="47896"/>
    <n v="0.43"/>
    <s v="985 Main St"/>
    <x v="4"/>
    <s v="TRK85744797"/>
    <x v="1"/>
    <n v="3"/>
    <x v="3"/>
    <n v="143688"/>
    <n v="61785.84"/>
    <n v="81902.16"/>
  </r>
  <r>
    <s v="ORD200663"/>
    <x v="116"/>
    <s v="C59774"/>
    <x v="0"/>
    <n v="2"/>
    <n v="2816"/>
    <n v="0.19"/>
    <s v="941 Main St"/>
    <x v="0"/>
    <s v="TRK87635135"/>
    <x v="2"/>
    <n v="6"/>
    <x v="0"/>
    <n v="5632"/>
    <n v="1070.08"/>
    <n v="4561.92"/>
  </r>
  <r>
    <s v="ORD200664"/>
    <x v="36"/>
    <s v="C14847"/>
    <x v="5"/>
    <n v="2"/>
    <n v="44325"/>
    <n v="0.42"/>
    <s v="188 Main St"/>
    <x v="4"/>
    <s v="TRK46492755"/>
    <x v="0"/>
    <n v="5"/>
    <x v="3"/>
    <n v="88650"/>
    <n v="37233"/>
    <n v="51417"/>
  </r>
  <r>
    <s v="ORD200665"/>
    <x v="468"/>
    <s v="C83653"/>
    <x v="2"/>
    <n v="1"/>
    <n v="13006"/>
    <n v="0.02"/>
    <s v="253 Main St"/>
    <x v="1"/>
    <s v="TRK32619935"/>
    <x v="0"/>
    <n v="6"/>
    <x v="4"/>
    <n v="13006"/>
    <n v="260.12"/>
    <n v="12745.88"/>
  </r>
  <r>
    <s v="ORD200666"/>
    <x v="169"/>
    <s v="C35711"/>
    <x v="0"/>
    <n v="1"/>
    <n v="4799"/>
    <n v="0.18"/>
    <s v="788 Main St"/>
    <x v="2"/>
    <s v="TRK45281495"/>
    <x v="1"/>
    <n v="4"/>
    <x v="2"/>
    <n v="4799"/>
    <n v="863.81999999999994"/>
    <n v="3935.1800000000003"/>
  </r>
  <r>
    <s v="ORD200667"/>
    <x v="71"/>
    <s v="C10477"/>
    <x v="5"/>
    <n v="3"/>
    <n v="47973"/>
    <n v="0.04"/>
    <s v="172 Main St"/>
    <x v="3"/>
    <s v="TRK41505339"/>
    <x v="2"/>
    <n v="5"/>
    <x v="2"/>
    <n v="143919"/>
    <n v="5756.76"/>
    <n v="138162.23999999999"/>
  </r>
  <r>
    <s v="ORD200668"/>
    <x v="482"/>
    <s v="C61257"/>
    <x v="0"/>
    <n v="3"/>
    <n v="8736"/>
    <n v="0.46"/>
    <s v="981 Main St"/>
    <x v="4"/>
    <s v="TRK25226070"/>
    <x v="1"/>
    <n v="3"/>
    <x v="3"/>
    <n v="26208"/>
    <n v="12055.68"/>
    <n v="14152.32"/>
  </r>
  <r>
    <s v="ORD200669"/>
    <x v="483"/>
    <s v="C60547"/>
    <x v="6"/>
    <n v="1"/>
    <n v="1519"/>
    <n v="0.24"/>
    <s v="812 Main St"/>
    <x v="0"/>
    <s v="TRK65694249"/>
    <x v="0"/>
    <n v="5"/>
    <x v="1"/>
    <n v="1519"/>
    <n v="364.56"/>
    <n v="1154.44"/>
  </r>
  <r>
    <s v="ORD200670"/>
    <x v="171"/>
    <s v="C14576"/>
    <x v="6"/>
    <n v="1"/>
    <n v="9000"/>
    <n v="0.16"/>
    <s v="747 Main St"/>
    <x v="2"/>
    <s v="TRK21637540"/>
    <x v="2"/>
    <n v="8"/>
    <x v="4"/>
    <n v="9000"/>
    <n v="1440"/>
    <n v="7560"/>
  </r>
  <r>
    <s v="ORD200671"/>
    <x v="484"/>
    <s v="C49282"/>
    <x v="3"/>
    <n v="3"/>
    <n v="49381"/>
    <n v="0.25"/>
    <s v="737 Main St"/>
    <x v="3"/>
    <s v="TRK88653901"/>
    <x v="2"/>
    <n v="7"/>
    <x v="4"/>
    <n v="148143"/>
    <n v="37035.75"/>
    <n v="111107.25"/>
  </r>
  <r>
    <s v="ORD200672"/>
    <x v="221"/>
    <s v="C14017"/>
    <x v="1"/>
    <n v="3"/>
    <n v="28463"/>
    <n v="0.27"/>
    <s v="984 Main St"/>
    <x v="0"/>
    <s v="TRK71009446"/>
    <x v="0"/>
    <n v="2"/>
    <x v="0"/>
    <n v="85389"/>
    <n v="23055.030000000002"/>
    <n v="62333.97"/>
  </r>
  <r>
    <s v="ORD200673"/>
    <x v="485"/>
    <s v="C46504"/>
    <x v="2"/>
    <n v="1"/>
    <n v="8379"/>
    <n v="0.42"/>
    <s v="131 Main St"/>
    <x v="2"/>
    <s v="TRK95024356"/>
    <x v="1"/>
    <n v="7"/>
    <x v="2"/>
    <n v="8379"/>
    <n v="3519.18"/>
    <n v="4859.82"/>
  </r>
  <r>
    <s v="ORD200674"/>
    <x v="486"/>
    <s v="C56928"/>
    <x v="5"/>
    <n v="2"/>
    <n v="54332"/>
    <n v="0.27"/>
    <s v="860 Main St"/>
    <x v="3"/>
    <s v="TRK57792939"/>
    <x v="1"/>
    <n v="9"/>
    <x v="3"/>
    <n v="108664"/>
    <n v="29339.280000000002"/>
    <n v="79324.72"/>
  </r>
  <r>
    <s v="ORD200675"/>
    <x v="76"/>
    <s v="C97749"/>
    <x v="6"/>
    <n v="1"/>
    <n v="9471"/>
    <n v="0.22"/>
    <s v="906 Main St"/>
    <x v="0"/>
    <s v="TRK90233116"/>
    <x v="2"/>
    <n v="5"/>
    <x v="2"/>
    <n v="9471"/>
    <n v="2083.62"/>
    <n v="7387.38"/>
  </r>
  <r>
    <s v="ORD200676"/>
    <x v="127"/>
    <s v="C90431"/>
    <x v="5"/>
    <n v="2"/>
    <n v="38438"/>
    <n v="0.48"/>
    <s v="985 Main St"/>
    <x v="2"/>
    <s v="TRK44151723"/>
    <x v="1"/>
    <n v="4"/>
    <x v="0"/>
    <n v="76876"/>
    <n v="36900.479999999996"/>
    <n v="39975.520000000004"/>
  </r>
  <r>
    <s v="ORD200677"/>
    <x v="487"/>
    <s v="C56722"/>
    <x v="2"/>
    <n v="3"/>
    <n v="2165"/>
    <n v="0.48"/>
    <s v="179 Main St"/>
    <x v="1"/>
    <s v="TRK78778569"/>
    <x v="1"/>
    <n v="7"/>
    <x v="0"/>
    <n v="6495"/>
    <n v="3117.6"/>
    <n v="3377.4"/>
  </r>
  <r>
    <s v="ORD200678"/>
    <x v="167"/>
    <s v="C40863"/>
    <x v="3"/>
    <n v="1"/>
    <n v="38028"/>
    <n v="0.02"/>
    <s v="457 Main St"/>
    <x v="3"/>
    <s v="TRK20553345"/>
    <x v="0"/>
    <n v="5"/>
    <x v="3"/>
    <n v="38028"/>
    <n v="760.56000000000006"/>
    <n v="37267.440000000002"/>
  </r>
  <r>
    <s v="ORD200679"/>
    <x v="488"/>
    <s v="C40798"/>
    <x v="2"/>
    <n v="2"/>
    <n v="10247"/>
    <n v="0.35"/>
    <s v="304 Main St"/>
    <x v="1"/>
    <s v="TRK66106697"/>
    <x v="1"/>
    <n v="5"/>
    <x v="0"/>
    <n v="20494"/>
    <n v="7172.9"/>
    <n v="13321.1"/>
  </r>
  <r>
    <s v="ORD200680"/>
    <x v="183"/>
    <s v="C16702"/>
    <x v="0"/>
    <n v="3"/>
    <n v="3807"/>
    <n v="0.19"/>
    <s v="694 Main St"/>
    <x v="2"/>
    <s v="TRK16953491"/>
    <x v="1"/>
    <n v="3"/>
    <x v="3"/>
    <n v="11421"/>
    <n v="2169.9900000000002"/>
    <n v="9251.01"/>
  </r>
  <r>
    <s v="ORD200681"/>
    <x v="489"/>
    <s v="C38262"/>
    <x v="2"/>
    <n v="2"/>
    <n v="9131"/>
    <n v="0.34"/>
    <s v="548 Main St"/>
    <x v="0"/>
    <s v="TRK47300502"/>
    <x v="0"/>
    <n v="6"/>
    <x v="2"/>
    <n v="18262"/>
    <n v="6209.0800000000008"/>
    <n v="12052.919999999998"/>
  </r>
  <r>
    <s v="ORD200682"/>
    <x v="363"/>
    <s v="C50274"/>
    <x v="0"/>
    <n v="2"/>
    <n v="4886"/>
    <n v="0.32"/>
    <s v="449 Main St"/>
    <x v="2"/>
    <s v="TRK91729086"/>
    <x v="1"/>
    <n v="5"/>
    <x v="4"/>
    <n v="9772"/>
    <n v="3127.04"/>
    <n v="6644.96"/>
  </r>
  <r>
    <s v="ORD200683"/>
    <x v="490"/>
    <s v="C91591"/>
    <x v="6"/>
    <n v="3"/>
    <n v="4959"/>
    <n v="0.17"/>
    <s v="887 Main St"/>
    <x v="4"/>
    <s v="TRK23554043"/>
    <x v="2"/>
    <n v="5"/>
    <x v="0"/>
    <n v="14877"/>
    <n v="2529.09"/>
    <n v="12347.91"/>
  </r>
  <r>
    <s v="ORD200684"/>
    <x v="491"/>
    <s v="C96583"/>
    <x v="4"/>
    <n v="1"/>
    <n v="9269"/>
    <n v="0.49"/>
    <s v="288 Main St"/>
    <x v="2"/>
    <s v="TRK64353241"/>
    <x v="0"/>
    <n v="8"/>
    <x v="2"/>
    <n v="9269"/>
    <n v="4541.8099999999995"/>
    <n v="4727.1900000000005"/>
  </r>
  <r>
    <s v="ORD200685"/>
    <x v="492"/>
    <s v="C64579"/>
    <x v="6"/>
    <n v="3"/>
    <n v="8955"/>
    <n v="0.18"/>
    <s v="638 Main St"/>
    <x v="0"/>
    <s v="TRK10276565"/>
    <x v="0"/>
    <n v="5"/>
    <x v="2"/>
    <n v="26865"/>
    <n v="4835.7"/>
    <n v="22029.3"/>
  </r>
  <r>
    <s v="ORD200686"/>
    <x v="112"/>
    <s v="C41903"/>
    <x v="6"/>
    <n v="3"/>
    <n v="7140"/>
    <n v="0.32"/>
    <s v="525 Main St"/>
    <x v="4"/>
    <s v="TRK59112382"/>
    <x v="2"/>
    <n v="4"/>
    <x v="3"/>
    <n v="21420"/>
    <n v="6854.4000000000005"/>
    <n v="14565.599999999999"/>
  </r>
  <r>
    <s v="ORD200687"/>
    <x v="493"/>
    <s v="C19742"/>
    <x v="2"/>
    <n v="2"/>
    <n v="17506"/>
    <n v="0.41"/>
    <s v="408 Main St"/>
    <x v="3"/>
    <s v="TRK68845230"/>
    <x v="0"/>
    <n v="5"/>
    <x v="0"/>
    <n v="35012"/>
    <n v="14354.919999999998"/>
    <n v="20657.080000000002"/>
  </r>
  <r>
    <s v="ORD200688"/>
    <x v="26"/>
    <s v="C20077"/>
    <x v="0"/>
    <n v="1"/>
    <n v="7419"/>
    <n v="7.0000000000000007E-2"/>
    <s v="154 Main St"/>
    <x v="2"/>
    <s v="TRK36415742"/>
    <x v="0"/>
    <n v="8"/>
    <x v="3"/>
    <n v="7419"/>
    <n v="519.33000000000004"/>
    <n v="6899.67"/>
  </r>
  <r>
    <s v="ORD200689"/>
    <x v="193"/>
    <s v="C13186"/>
    <x v="2"/>
    <n v="3"/>
    <n v="15212"/>
    <n v="0.15"/>
    <s v="787 Main St"/>
    <x v="1"/>
    <s v="TRK56967415"/>
    <x v="0"/>
    <n v="7"/>
    <x v="3"/>
    <n v="45636"/>
    <n v="6845.4"/>
    <n v="38790.6"/>
  </r>
  <r>
    <s v="ORD200690"/>
    <x v="494"/>
    <s v="C29318"/>
    <x v="0"/>
    <n v="3"/>
    <n v="2675"/>
    <n v="0.1"/>
    <s v="128 Main St"/>
    <x v="3"/>
    <s v="TRK88666721"/>
    <x v="1"/>
    <n v="1"/>
    <x v="0"/>
    <n v="8025"/>
    <n v="802.5"/>
    <n v="7222.5"/>
  </r>
  <r>
    <s v="ORD200691"/>
    <x v="167"/>
    <s v="C36137"/>
    <x v="5"/>
    <n v="1"/>
    <n v="73502"/>
    <n v="0.39"/>
    <s v="396 Main St"/>
    <x v="4"/>
    <s v="TRK57376416"/>
    <x v="0"/>
    <n v="8"/>
    <x v="4"/>
    <n v="73502"/>
    <n v="28665.780000000002"/>
    <n v="44836.22"/>
  </r>
  <r>
    <s v="ORD200692"/>
    <x v="19"/>
    <s v="C25534"/>
    <x v="6"/>
    <n v="2"/>
    <n v="6369"/>
    <n v="0.4"/>
    <s v="319 Main St"/>
    <x v="2"/>
    <s v="TRK68347402"/>
    <x v="1"/>
    <n v="5"/>
    <x v="0"/>
    <n v="12738"/>
    <n v="5095.2000000000007"/>
    <n v="7642.7999999999993"/>
  </r>
  <r>
    <s v="ORD200693"/>
    <x v="495"/>
    <s v="C62070"/>
    <x v="0"/>
    <n v="3"/>
    <n v="7291"/>
    <n v="0.13"/>
    <s v="674 Main St"/>
    <x v="0"/>
    <s v="TRK10267127"/>
    <x v="1"/>
    <n v="4"/>
    <x v="1"/>
    <n v="21873"/>
    <n v="2843.4900000000002"/>
    <n v="19029.509999999998"/>
  </r>
  <r>
    <s v="ORD200694"/>
    <x v="276"/>
    <s v="C92049"/>
    <x v="4"/>
    <n v="1"/>
    <n v="6595"/>
    <n v="0"/>
    <s v="619 Main St"/>
    <x v="4"/>
    <s v="TRK32287092"/>
    <x v="0"/>
    <n v="8"/>
    <x v="2"/>
    <n v="6595"/>
    <n v="0"/>
    <n v="6595"/>
  </r>
  <r>
    <s v="ORD200695"/>
    <x v="432"/>
    <s v="C52604"/>
    <x v="4"/>
    <n v="2"/>
    <n v="8302"/>
    <n v="0.21"/>
    <s v="553 Main St"/>
    <x v="1"/>
    <s v="TRK48839788"/>
    <x v="0"/>
    <n v="7"/>
    <x v="2"/>
    <n v="16604"/>
    <n v="3486.8399999999997"/>
    <n v="13117.16"/>
  </r>
  <r>
    <s v="ORD200696"/>
    <x v="226"/>
    <s v="C22429"/>
    <x v="3"/>
    <n v="3"/>
    <n v="44104"/>
    <n v="0.34"/>
    <s v="965 Main St"/>
    <x v="3"/>
    <s v="TRK38572927"/>
    <x v="2"/>
    <n v="9"/>
    <x v="3"/>
    <n v="132312"/>
    <n v="44986.080000000002"/>
    <n v="87325.92"/>
  </r>
  <r>
    <s v="ORD200697"/>
    <x v="496"/>
    <s v="C27430"/>
    <x v="4"/>
    <n v="2"/>
    <n v="8145"/>
    <n v="0.31"/>
    <s v="788 Main St"/>
    <x v="4"/>
    <s v="TRK45025840"/>
    <x v="0"/>
    <n v="6"/>
    <x v="2"/>
    <n v="16290"/>
    <n v="5049.8999999999996"/>
    <n v="11240.1"/>
  </r>
  <r>
    <s v="ORD200698"/>
    <x v="0"/>
    <s v="C44366"/>
    <x v="5"/>
    <n v="1"/>
    <n v="68086"/>
    <n v="0.22"/>
    <s v="169 Main St"/>
    <x v="4"/>
    <s v="TRK48658394"/>
    <x v="1"/>
    <n v="2"/>
    <x v="0"/>
    <n v="68086"/>
    <n v="14978.92"/>
    <n v="53107.08"/>
  </r>
  <r>
    <s v="ORD200699"/>
    <x v="497"/>
    <s v="C36813"/>
    <x v="5"/>
    <n v="3"/>
    <n v="75953"/>
    <n v="0.15"/>
    <s v="897 Main St"/>
    <x v="3"/>
    <s v="TRK84088900"/>
    <x v="1"/>
    <n v="3"/>
    <x v="3"/>
    <n v="227859"/>
    <n v="34178.85"/>
    <n v="193680.15"/>
  </r>
  <r>
    <s v="ORD200700"/>
    <x v="498"/>
    <s v="C40201"/>
    <x v="5"/>
    <n v="1"/>
    <n v="66429"/>
    <n v="0.24"/>
    <s v="555 Main St"/>
    <x v="4"/>
    <s v="TRK30198779"/>
    <x v="2"/>
    <n v="3"/>
    <x v="0"/>
    <n v="66429"/>
    <n v="15942.96"/>
    <n v="50486.04"/>
  </r>
  <r>
    <s v="ORD200701"/>
    <x v="499"/>
    <s v="C75456"/>
    <x v="0"/>
    <n v="3"/>
    <n v="8801"/>
    <n v="0.01"/>
    <s v="115 Main St"/>
    <x v="2"/>
    <s v="TRK90519490"/>
    <x v="1"/>
    <n v="5"/>
    <x v="2"/>
    <n v="26403"/>
    <n v="264.03000000000003"/>
    <n v="26138.97"/>
  </r>
  <r>
    <s v="ORD200702"/>
    <x v="410"/>
    <s v="C33315"/>
    <x v="4"/>
    <n v="3"/>
    <n v="6871"/>
    <n v="0.04"/>
    <s v="154 Main St"/>
    <x v="0"/>
    <s v="TRK43589369"/>
    <x v="2"/>
    <n v="6"/>
    <x v="2"/>
    <n v="20613"/>
    <n v="824.52"/>
    <n v="19788.48"/>
  </r>
  <r>
    <s v="ORD200703"/>
    <x v="500"/>
    <s v="C89336"/>
    <x v="6"/>
    <n v="2"/>
    <n v="7352"/>
    <n v="0.08"/>
    <s v="799 Main St"/>
    <x v="4"/>
    <s v="TRK47665103"/>
    <x v="2"/>
    <n v="3"/>
    <x v="2"/>
    <n v="14704"/>
    <n v="1176.32"/>
    <n v="13527.68"/>
  </r>
  <r>
    <s v="ORD200704"/>
    <x v="301"/>
    <s v="C96034"/>
    <x v="6"/>
    <n v="3"/>
    <n v="9065"/>
    <n v="0.31"/>
    <s v="819 Main St"/>
    <x v="1"/>
    <s v="TRK87261034"/>
    <x v="1"/>
    <n v="9"/>
    <x v="4"/>
    <n v="27195"/>
    <n v="8430.4500000000007"/>
    <n v="18764.55"/>
  </r>
  <r>
    <s v="ORD200705"/>
    <x v="501"/>
    <s v="C50114"/>
    <x v="0"/>
    <n v="3"/>
    <n v="4766"/>
    <n v="0.11"/>
    <s v="420 Main St"/>
    <x v="0"/>
    <s v="TRK20214786"/>
    <x v="2"/>
    <n v="7"/>
    <x v="0"/>
    <n v="14298"/>
    <n v="1572.78"/>
    <n v="12725.22"/>
  </r>
  <r>
    <s v="ORD200706"/>
    <x v="380"/>
    <s v="C85330"/>
    <x v="6"/>
    <n v="2"/>
    <n v="9137"/>
    <n v="0.21"/>
    <s v="969 Main St"/>
    <x v="3"/>
    <s v="TRK97693301"/>
    <x v="0"/>
    <n v="9"/>
    <x v="3"/>
    <n v="18274"/>
    <n v="3837.54"/>
    <n v="14436.46"/>
  </r>
  <r>
    <s v="ORD200707"/>
    <x v="377"/>
    <s v="C31761"/>
    <x v="3"/>
    <n v="1"/>
    <n v="36582"/>
    <n v="0.31"/>
    <s v="989 Main St"/>
    <x v="3"/>
    <s v="TRK17628852"/>
    <x v="1"/>
    <n v="6"/>
    <x v="3"/>
    <n v="36582"/>
    <n v="11340.42"/>
    <n v="25241.58"/>
  </r>
  <r>
    <s v="ORD200708"/>
    <x v="155"/>
    <s v="C25268"/>
    <x v="4"/>
    <n v="3"/>
    <n v="8738"/>
    <n v="0.42"/>
    <s v="788 Main St"/>
    <x v="4"/>
    <s v="TRK20481215"/>
    <x v="2"/>
    <n v="3"/>
    <x v="0"/>
    <n v="26214"/>
    <n v="11009.88"/>
    <n v="15204.12"/>
  </r>
  <r>
    <s v="ORD200709"/>
    <x v="34"/>
    <s v="C17132"/>
    <x v="6"/>
    <n v="1"/>
    <n v="6916"/>
    <n v="0.27"/>
    <s v="855 Main St"/>
    <x v="1"/>
    <s v="TRK37504692"/>
    <x v="2"/>
    <n v="4"/>
    <x v="4"/>
    <n v="6916"/>
    <n v="1867.3200000000002"/>
    <n v="5048.68"/>
  </r>
  <r>
    <s v="ORD200710"/>
    <x v="319"/>
    <s v="C48790"/>
    <x v="5"/>
    <n v="1"/>
    <n v="27348"/>
    <n v="0.09"/>
    <s v="113 Main St"/>
    <x v="3"/>
    <s v="TRK19086608"/>
    <x v="0"/>
    <n v="10"/>
    <x v="4"/>
    <n v="27348"/>
    <n v="2461.3199999999997"/>
    <n v="24886.68"/>
  </r>
  <r>
    <s v="ORD200711"/>
    <x v="502"/>
    <s v="C61070"/>
    <x v="2"/>
    <n v="2"/>
    <n v="4573"/>
    <n v="0.48"/>
    <s v="632 Main St"/>
    <x v="1"/>
    <s v="TRK90764894"/>
    <x v="0"/>
    <n v="2"/>
    <x v="4"/>
    <n v="9146"/>
    <n v="4390.08"/>
    <n v="4755.92"/>
  </r>
  <r>
    <s v="ORD200712"/>
    <x v="486"/>
    <s v="C56969"/>
    <x v="2"/>
    <n v="3"/>
    <n v="2465"/>
    <n v="0.05"/>
    <s v="993 Main St"/>
    <x v="3"/>
    <s v="TRK10513339"/>
    <x v="2"/>
    <n v="7"/>
    <x v="2"/>
    <n v="7395"/>
    <n v="369.75"/>
    <n v="7025.25"/>
  </r>
  <r>
    <s v="ORD200713"/>
    <x v="370"/>
    <s v="C65056"/>
    <x v="2"/>
    <n v="2"/>
    <n v="19503"/>
    <n v="0.18"/>
    <s v="638 Main St"/>
    <x v="1"/>
    <s v="TRK31705278"/>
    <x v="2"/>
    <n v="6"/>
    <x v="3"/>
    <n v="39006"/>
    <n v="7021.08"/>
    <n v="31984.92"/>
  </r>
  <r>
    <s v="ORD200714"/>
    <x v="453"/>
    <s v="C84888"/>
    <x v="5"/>
    <n v="1"/>
    <n v="72234"/>
    <n v="0.46"/>
    <s v="278 Main St"/>
    <x v="0"/>
    <s v="TRK23612847"/>
    <x v="2"/>
    <n v="1"/>
    <x v="3"/>
    <n v="72234"/>
    <n v="33227.64"/>
    <n v="39006.36"/>
  </r>
  <r>
    <s v="ORD200715"/>
    <x v="503"/>
    <s v="C68266"/>
    <x v="4"/>
    <n v="2"/>
    <n v="7963"/>
    <n v="0.3"/>
    <s v="281 Main St"/>
    <x v="1"/>
    <s v="TRK96161062"/>
    <x v="1"/>
    <n v="7"/>
    <x v="2"/>
    <n v="15926"/>
    <n v="4777.8"/>
    <n v="11148.2"/>
  </r>
  <r>
    <s v="ORD200716"/>
    <x v="136"/>
    <s v="C84115"/>
    <x v="3"/>
    <n v="3"/>
    <n v="16023"/>
    <n v="0.33"/>
    <s v="891 Main St"/>
    <x v="2"/>
    <s v="TRK25466842"/>
    <x v="2"/>
    <n v="4"/>
    <x v="4"/>
    <n v="48069"/>
    <n v="15862.77"/>
    <n v="32206.23"/>
  </r>
  <r>
    <s v="ORD200717"/>
    <x v="504"/>
    <s v="C50087"/>
    <x v="3"/>
    <n v="2"/>
    <n v="48920"/>
    <n v="0.15"/>
    <s v="707 Main St"/>
    <x v="1"/>
    <s v="TRK31143760"/>
    <x v="1"/>
    <n v="4"/>
    <x v="2"/>
    <n v="97840"/>
    <n v="14676"/>
    <n v="83164"/>
  </r>
  <r>
    <s v="ORD200718"/>
    <x v="505"/>
    <s v="C16790"/>
    <x v="5"/>
    <n v="1"/>
    <n v="32901"/>
    <n v="0.04"/>
    <s v="718 Main St"/>
    <x v="3"/>
    <s v="TRK91791367"/>
    <x v="2"/>
    <n v="8"/>
    <x v="4"/>
    <n v="32901"/>
    <n v="1316.04"/>
    <n v="31584.959999999999"/>
  </r>
  <r>
    <s v="ORD200719"/>
    <x v="506"/>
    <s v="C46920"/>
    <x v="5"/>
    <n v="2"/>
    <n v="66301"/>
    <n v="0.18"/>
    <s v="703 Main St"/>
    <x v="0"/>
    <s v="TRK86403837"/>
    <x v="0"/>
    <n v="3"/>
    <x v="3"/>
    <n v="132602"/>
    <n v="23868.36"/>
    <n v="108733.64"/>
  </r>
  <r>
    <s v="ORD200720"/>
    <x v="507"/>
    <s v="C12740"/>
    <x v="6"/>
    <n v="2"/>
    <n v="6319"/>
    <n v="0.2"/>
    <s v="305 Main St"/>
    <x v="4"/>
    <s v="TRK98506513"/>
    <x v="2"/>
    <n v="10"/>
    <x v="0"/>
    <n v="12638"/>
    <n v="2527.6000000000004"/>
    <n v="10110.4"/>
  </r>
  <r>
    <s v="ORD200721"/>
    <x v="508"/>
    <s v="C46557"/>
    <x v="6"/>
    <n v="1"/>
    <n v="7896"/>
    <n v="0.14000000000000001"/>
    <s v="890 Main St"/>
    <x v="2"/>
    <s v="TRK56110689"/>
    <x v="1"/>
    <n v="2"/>
    <x v="2"/>
    <n v="7896"/>
    <n v="1105.44"/>
    <n v="6790.5599999999995"/>
  </r>
  <r>
    <s v="ORD200722"/>
    <x v="64"/>
    <s v="C58156"/>
    <x v="4"/>
    <n v="1"/>
    <n v="9332"/>
    <n v="0.11"/>
    <s v="516 Main St"/>
    <x v="3"/>
    <s v="TRK49719458"/>
    <x v="2"/>
    <n v="1"/>
    <x v="0"/>
    <n v="9332"/>
    <n v="1026.52"/>
    <n v="8305.48"/>
  </r>
  <r>
    <s v="ORD200723"/>
    <x v="509"/>
    <s v="C14455"/>
    <x v="6"/>
    <n v="2"/>
    <n v="9447"/>
    <n v="0.18"/>
    <s v="385 Main St"/>
    <x v="4"/>
    <s v="TRK50933724"/>
    <x v="0"/>
    <n v="8"/>
    <x v="1"/>
    <n v="18894"/>
    <n v="3400.92"/>
    <n v="15493.08"/>
  </r>
  <r>
    <s v="ORD200724"/>
    <x v="266"/>
    <s v="C63150"/>
    <x v="4"/>
    <n v="2"/>
    <n v="7130"/>
    <n v="0.32"/>
    <s v="326 Main St"/>
    <x v="2"/>
    <s v="TRK19348078"/>
    <x v="2"/>
    <n v="4"/>
    <x v="1"/>
    <n v="14260"/>
    <n v="4563.2"/>
    <n v="9696.7999999999993"/>
  </r>
  <r>
    <s v="ORD200725"/>
    <x v="255"/>
    <s v="C95269"/>
    <x v="3"/>
    <n v="1"/>
    <n v="16327"/>
    <n v="0.47"/>
    <s v="372 Main St"/>
    <x v="3"/>
    <s v="TRK45670926"/>
    <x v="0"/>
    <n v="5"/>
    <x v="1"/>
    <n v="16327"/>
    <n v="7673.69"/>
    <n v="8653.3100000000013"/>
  </r>
  <r>
    <s v="ORD200726"/>
    <x v="510"/>
    <s v="C18105"/>
    <x v="5"/>
    <n v="3"/>
    <n v="20555"/>
    <n v="0.35"/>
    <s v="338 Main St"/>
    <x v="1"/>
    <s v="TRK94006117"/>
    <x v="1"/>
    <n v="4"/>
    <x v="3"/>
    <n v="61665"/>
    <n v="21582.75"/>
    <n v="40082.25"/>
  </r>
  <r>
    <s v="ORD200727"/>
    <x v="470"/>
    <s v="C29063"/>
    <x v="3"/>
    <n v="3"/>
    <n v="26064"/>
    <n v="0.39"/>
    <s v="379 Main St"/>
    <x v="1"/>
    <s v="TRK92745947"/>
    <x v="0"/>
    <n v="8"/>
    <x v="0"/>
    <n v="78192"/>
    <n v="30494.880000000001"/>
    <n v="47697.119999999995"/>
  </r>
  <r>
    <s v="ORD200728"/>
    <x v="511"/>
    <s v="C10154"/>
    <x v="6"/>
    <n v="2"/>
    <n v="2402"/>
    <n v="0.15"/>
    <s v="827 Main St"/>
    <x v="3"/>
    <s v="TRK79793300"/>
    <x v="0"/>
    <n v="8"/>
    <x v="2"/>
    <n v="4804"/>
    <n v="720.6"/>
    <n v="4083.4"/>
  </r>
  <r>
    <s v="ORD200729"/>
    <x v="102"/>
    <s v="C36997"/>
    <x v="1"/>
    <n v="1"/>
    <n v="46063"/>
    <n v="0.05"/>
    <s v="819 Main St"/>
    <x v="3"/>
    <s v="TRK92794872"/>
    <x v="2"/>
    <n v="6"/>
    <x v="4"/>
    <n v="46063"/>
    <n v="2303.15"/>
    <n v="43759.85"/>
  </r>
  <r>
    <s v="ORD200730"/>
    <x v="512"/>
    <s v="C77357"/>
    <x v="1"/>
    <n v="2"/>
    <n v="21316"/>
    <n v="0.15"/>
    <s v="407 Main St"/>
    <x v="0"/>
    <s v="TRK91943923"/>
    <x v="1"/>
    <n v="4"/>
    <x v="2"/>
    <n v="42632"/>
    <n v="6394.8"/>
    <n v="36237.199999999997"/>
  </r>
  <r>
    <s v="ORD200731"/>
    <x v="267"/>
    <s v="C71310"/>
    <x v="4"/>
    <n v="1"/>
    <n v="9915"/>
    <n v="0.2"/>
    <s v="308 Main St"/>
    <x v="2"/>
    <s v="TRK48292586"/>
    <x v="1"/>
    <n v="8"/>
    <x v="2"/>
    <n v="9915"/>
    <n v="1983"/>
    <n v="7932"/>
  </r>
  <r>
    <s v="ORD200732"/>
    <x v="456"/>
    <s v="C80987"/>
    <x v="5"/>
    <n v="2"/>
    <n v="46175"/>
    <n v="0.34"/>
    <s v="787 Main St"/>
    <x v="1"/>
    <s v="TRK42187776"/>
    <x v="1"/>
    <n v="2"/>
    <x v="4"/>
    <n v="92350"/>
    <n v="31399.000000000004"/>
    <n v="60951"/>
  </r>
  <r>
    <s v="ORD200733"/>
    <x v="513"/>
    <s v="C90757"/>
    <x v="2"/>
    <n v="3"/>
    <n v="18878"/>
    <n v="0.47"/>
    <s v="694 Main St"/>
    <x v="4"/>
    <s v="TRK87991608"/>
    <x v="2"/>
    <n v="8"/>
    <x v="2"/>
    <n v="56634"/>
    <n v="26617.98"/>
    <n v="30016.02"/>
  </r>
  <r>
    <s v="ORD200734"/>
    <x v="514"/>
    <s v="C51898"/>
    <x v="4"/>
    <n v="3"/>
    <n v="6400"/>
    <n v="0.4"/>
    <s v="630 Main St"/>
    <x v="2"/>
    <s v="TRK19767885"/>
    <x v="1"/>
    <n v="6"/>
    <x v="3"/>
    <n v="19200"/>
    <n v="7680"/>
    <n v="11520"/>
  </r>
  <r>
    <s v="ORD200735"/>
    <x v="515"/>
    <s v="C94508"/>
    <x v="0"/>
    <n v="3"/>
    <n v="4172"/>
    <n v="0.13"/>
    <s v="359 Main St"/>
    <x v="0"/>
    <s v="TRK13443264"/>
    <x v="2"/>
    <n v="6"/>
    <x v="2"/>
    <n v="12516"/>
    <n v="1627.0800000000002"/>
    <n v="10888.92"/>
  </r>
  <r>
    <s v="ORD200736"/>
    <x v="516"/>
    <s v="C59441"/>
    <x v="0"/>
    <n v="2"/>
    <n v="2192"/>
    <n v="0.41"/>
    <s v="696 Main St"/>
    <x v="2"/>
    <s v="TRK66186874"/>
    <x v="2"/>
    <n v="6"/>
    <x v="4"/>
    <n v="4384"/>
    <n v="1797.4399999999998"/>
    <n v="2586.5600000000004"/>
  </r>
  <r>
    <s v="ORD200737"/>
    <x v="517"/>
    <s v="C91029"/>
    <x v="1"/>
    <n v="1"/>
    <n v="37160"/>
    <n v="0.21"/>
    <s v="972 Main St"/>
    <x v="4"/>
    <s v="TRK25501930"/>
    <x v="2"/>
    <n v="9"/>
    <x v="0"/>
    <n v="37160"/>
    <n v="7803.5999999999995"/>
    <n v="29356.400000000001"/>
  </r>
  <r>
    <s v="ORD200738"/>
    <x v="518"/>
    <s v="C96261"/>
    <x v="1"/>
    <n v="2"/>
    <n v="33942"/>
    <n v="0.09"/>
    <s v="264 Main St"/>
    <x v="2"/>
    <s v="TRK44998396"/>
    <x v="0"/>
    <n v="5"/>
    <x v="2"/>
    <n v="67884"/>
    <n v="6109.5599999999995"/>
    <n v="61774.44"/>
  </r>
  <r>
    <s v="ORD200739"/>
    <x v="136"/>
    <s v="C35123"/>
    <x v="1"/>
    <n v="2"/>
    <n v="48986"/>
    <n v="0.23"/>
    <s v="513 Main St"/>
    <x v="4"/>
    <s v="TRK58979275"/>
    <x v="1"/>
    <n v="4"/>
    <x v="3"/>
    <n v="97972"/>
    <n v="22533.56"/>
    <n v="75438.44"/>
  </r>
  <r>
    <s v="ORD200740"/>
    <x v="351"/>
    <s v="C10892"/>
    <x v="6"/>
    <n v="1"/>
    <n v="1667"/>
    <n v="0.28000000000000003"/>
    <s v="433 Main St"/>
    <x v="4"/>
    <s v="TRK76154554"/>
    <x v="2"/>
    <n v="7"/>
    <x v="4"/>
    <n v="1667"/>
    <n v="466.76000000000005"/>
    <n v="1200.24"/>
  </r>
  <r>
    <s v="ORD200741"/>
    <x v="185"/>
    <s v="C99683"/>
    <x v="0"/>
    <n v="3"/>
    <n v="5652"/>
    <n v="0.38"/>
    <s v="945 Main St"/>
    <x v="3"/>
    <s v="TRK87305883"/>
    <x v="1"/>
    <n v="10"/>
    <x v="1"/>
    <n v="16956"/>
    <n v="6443.28"/>
    <n v="10512.720000000001"/>
  </r>
  <r>
    <s v="ORD200742"/>
    <x v="519"/>
    <s v="C41974"/>
    <x v="5"/>
    <n v="3"/>
    <n v="24867"/>
    <n v="0.17"/>
    <s v="726 Main St"/>
    <x v="4"/>
    <s v="TRK48051468"/>
    <x v="2"/>
    <n v="7"/>
    <x v="4"/>
    <n v="74601"/>
    <n v="12682.17"/>
    <n v="61918.83"/>
  </r>
  <r>
    <s v="ORD200743"/>
    <x v="430"/>
    <s v="C23978"/>
    <x v="0"/>
    <n v="1"/>
    <n v="3041"/>
    <n v="7.0000000000000007E-2"/>
    <s v="549 Main St"/>
    <x v="3"/>
    <s v="TRK87090813"/>
    <x v="1"/>
    <n v="1"/>
    <x v="0"/>
    <n v="3041"/>
    <n v="212.87000000000003"/>
    <n v="2828.13"/>
  </r>
  <r>
    <s v="ORD200744"/>
    <x v="520"/>
    <s v="C10642"/>
    <x v="2"/>
    <n v="2"/>
    <n v="11847"/>
    <n v="0.05"/>
    <s v="200 Main St"/>
    <x v="4"/>
    <s v="TRK98725693"/>
    <x v="1"/>
    <n v="5"/>
    <x v="4"/>
    <n v="23694"/>
    <n v="1184.7"/>
    <n v="22509.3"/>
  </r>
  <r>
    <s v="ORD200745"/>
    <x v="521"/>
    <s v="C73813"/>
    <x v="4"/>
    <n v="2"/>
    <n v="6939"/>
    <n v="0.06"/>
    <s v="364 Main St"/>
    <x v="0"/>
    <s v="TRK89906749"/>
    <x v="2"/>
    <n v="7"/>
    <x v="2"/>
    <n v="13878"/>
    <n v="832.68"/>
    <n v="13045.32"/>
  </r>
  <r>
    <s v="ORD200746"/>
    <x v="522"/>
    <s v="C32183"/>
    <x v="6"/>
    <n v="2"/>
    <n v="3150"/>
    <n v="0.48"/>
    <s v="551 Main St"/>
    <x v="1"/>
    <s v="TRK76287027"/>
    <x v="1"/>
    <n v="6"/>
    <x v="1"/>
    <n v="6300"/>
    <n v="3024"/>
    <n v="3276"/>
  </r>
  <r>
    <s v="ORD200747"/>
    <x v="495"/>
    <s v="C54277"/>
    <x v="2"/>
    <n v="1"/>
    <n v="3714"/>
    <n v="0.48"/>
    <s v="940 Main St"/>
    <x v="0"/>
    <s v="TRK26500181"/>
    <x v="1"/>
    <n v="7"/>
    <x v="0"/>
    <n v="3714"/>
    <n v="1782.72"/>
    <n v="1931.28"/>
  </r>
  <r>
    <s v="ORD200748"/>
    <x v="523"/>
    <s v="C56553"/>
    <x v="2"/>
    <n v="3"/>
    <n v="14235"/>
    <n v="0.48"/>
    <s v="249 Main St"/>
    <x v="2"/>
    <s v="TRK37667360"/>
    <x v="0"/>
    <n v="8"/>
    <x v="1"/>
    <n v="42705"/>
    <n v="20498.399999999998"/>
    <n v="22206.600000000002"/>
  </r>
  <r>
    <s v="ORD200749"/>
    <x v="524"/>
    <s v="C17551"/>
    <x v="5"/>
    <n v="3"/>
    <n v="68786"/>
    <n v="0.15"/>
    <s v="997 Main St"/>
    <x v="0"/>
    <s v="TRK88797170"/>
    <x v="2"/>
    <n v="4"/>
    <x v="0"/>
    <n v="206358"/>
    <n v="30953.699999999997"/>
    <n v="175404.3"/>
  </r>
  <r>
    <s v="ORD200750"/>
    <x v="90"/>
    <s v="C14737"/>
    <x v="2"/>
    <n v="1"/>
    <n v="7839"/>
    <n v="0.1"/>
    <s v="637 Main St"/>
    <x v="2"/>
    <s v="TRK10295115"/>
    <x v="2"/>
    <n v="7"/>
    <x v="2"/>
    <n v="7839"/>
    <n v="783.90000000000009"/>
    <n v="7055.1"/>
  </r>
  <r>
    <s v="ORD200751"/>
    <x v="16"/>
    <s v="C35168"/>
    <x v="2"/>
    <n v="2"/>
    <n v="6161"/>
    <n v="0.49"/>
    <s v="455 Main St"/>
    <x v="3"/>
    <s v="TRK76960854"/>
    <x v="2"/>
    <n v="7"/>
    <x v="3"/>
    <n v="12322"/>
    <n v="6037.78"/>
    <n v="6284.22"/>
  </r>
  <r>
    <s v="ORD200752"/>
    <x v="525"/>
    <s v="C82217"/>
    <x v="1"/>
    <n v="3"/>
    <n v="39406"/>
    <n v="0.49"/>
    <s v="299 Main St"/>
    <x v="2"/>
    <s v="TRK33305694"/>
    <x v="1"/>
    <n v="8"/>
    <x v="4"/>
    <n v="118218"/>
    <n v="57926.82"/>
    <n v="60291.18"/>
  </r>
  <r>
    <s v="ORD200753"/>
    <x v="526"/>
    <s v="C42270"/>
    <x v="1"/>
    <n v="3"/>
    <n v="24300"/>
    <n v="0.04"/>
    <s v="864 Main St"/>
    <x v="0"/>
    <s v="TRK72697796"/>
    <x v="2"/>
    <n v="7"/>
    <x v="0"/>
    <n v="72900"/>
    <n v="2916"/>
    <n v="69984"/>
  </r>
  <r>
    <s v="ORD200754"/>
    <x v="133"/>
    <s v="C48846"/>
    <x v="4"/>
    <n v="1"/>
    <n v="8267"/>
    <n v="0.38"/>
    <s v="983 Main St"/>
    <x v="2"/>
    <s v="TRK52804097"/>
    <x v="0"/>
    <n v="3"/>
    <x v="2"/>
    <n v="8267"/>
    <n v="3141.46"/>
    <n v="5125.54"/>
  </r>
  <r>
    <s v="ORD200755"/>
    <x v="527"/>
    <s v="C54160"/>
    <x v="6"/>
    <n v="2"/>
    <n v="4074"/>
    <n v="0.14000000000000001"/>
    <s v="658 Main St"/>
    <x v="2"/>
    <s v="TRK60515972"/>
    <x v="2"/>
    <n v="4"/>
    <x v="2"/>
    <n v="8148"/>
    <n v="1140.72"/>
    <n v="7007.28"/>
  </r>
  <r>
    <s v="ORD200756"/>
    <x v="326"/>
    <s v="C14080"/>
    <x v="1"/>
    <n v="1"/>
    <n v="29280"/>
    <n v="0.45"/>
    <s v="202 Main St"/>
    <x v="3"/>
    <s v="TRK93163682"/>
    <x v="0"/>
    <n v="6"/>
    <x v="4"/>
    <n v="29280"/>
    <n v="13176"/>
    <n v="16104"/>
  </r>
  <r>
    <s v="ORD200757"/>
    <x v="27"/>
    <s v="C81074"/>
    <x v="6"/>
    <n v="3"/>
    <n v="6009"/>
    <n v="0.04"/>
    <s v="597 Main St"/>
    <x v="0"/>
    <s v="TRK91105190"/>
    <x v="1"/>
    <n v="2"/>
    <x v="4"/>
    <n v="18027"/>
    <n v="721.08"/>
    <n v="17305.919999999998"/>
  </r>
  <r>
    <s v="ORD200758"/>
    <x v="465"/>
    <s v="C69021"/>
    <x v="2"/>
    <n v="3"/>
    <n v="10252"/>
    <n v="0.44"/>
    <s v="917 Main St"/>
    <x v="2"/>
    <s v="TRK57148510"/>
    <x v="2"/>
    <n v="8"/>
    <x v="3"/>
    <n v="30756"/>
    <n v="13532.64"/>
    <n v="17223.36"/>
  </r>
  <r>
    <s v="ORD200759"/>
    <x v="528"/>
    <s v="C96283"/>
    <x v="6"/>
    <n v="1"/>
    <n v="6789"/>
    <n v="0"/>
    <s v="366 Main St"/>
    <x v="4"/>
    <s v="TRK91784124"/>
    <x v="2"/>
    <n v="3"/>
    <x v="3"/>
    <n v="6789"/>
    <n v="0"/>
    <n v="6789"/>
  </r>
  <r>
    <s v="ORD200760"/>
    <x v="403"/>
    <s v="C96636"/>
    <x v="6"/>
    <n v="2"/>
    <n v="1776"/>
    <n v="0.26"/>
    <s v="283 Main St"/>
    <x v="0"/>
    <s v="TRK73324346"/>
    <x v="1"/>
    <n v="5"/>
    <x v="4"/>
    <n v="3552"/>
    <n v="923.52"/>
    <n v="2628.48"/>
  </r>
  <r>
    <s v="ORD200761"/>
    <x v="454"/>
    <s v="C37235"/>
    <x v="6"/>
    <n v="2"/>
    <n v="9479"/>
    <n v="0.17"/>
    <s v="217 Main St"/>
    <x v="0"/>
    <s v="TRK67789367"/>
    <x v="1"/>
    <n v="7"/>
    <x v="4"/>
    <n v="18958"/>
    <n v="3222.86"/>
    <n v="15735.14"/>
  </r>
  <r>
    <s v="ORD200762"/>
    <x v="529"/>
    <s v="C12444"/>
    <x v="1"/>
    <n v="1"/>
    <n v="42377"/>
    <n v="0.21"/>
    <s v="611 Main St"/>
    <x v="4"/>
    <s v="TRK97621403"/>
    <x v="0"/>
    <n v="8"/>
    <x v="2"/>
    <n v="42377"/>
    <n v="8899.17"/>
    <n v="33477.83"/>
  </r>
  <r>
    <s v="ORD200763"/>
    <x v="388"/>
    <s v="C79142"/>
    <x v="5"/>
    <n v="2"/>
    <n v="59658"/>
    <n v="0.22"/>
    <s v="533 Main St"/>
    <x v="1"/>
    <s v="TRK30915955"/>
    <x v="1"/>
    <n v="4"/>
    <x v="2"/>
    <n v="119316"/>
    <n v="26249.52"/>
    <n v="93066.48"/>
  </r>
  <r>
    <s v="ORD200764"/>
    <x v="416"/>
    <s v="C35983"/>
    <x v="5"/>
    <n v="2"/>
    <n v="76757"/>
    <n v="0.33"/>
    <s v="806 Main St"/>
    <x v="2"/>
    <s v="TRK14016163"/>
    <x v="2"/>
    <n v="10"/>
    <x v="2"/>
    <n v="153514"/>
    <n v="50659.62"/>
    <n v="102854.38"/>
  </r>
  <r>
    <s v="ORD200765"/>
    <x v="426"/>
    <s v="C36150"/>
    <x v="5"/>
    <n v="3"/>
    <n v="58345"/>
    <n v="0.01"/>
    <s v="281 Main St"/>
    <x v="0"/>
    <s v="TRK96249043"/>
    <x v="0"/>
    <n v="5"/>
    <x v="4"/>
    <n v="175035"/>
    <n v="1750.3500000000001"/>
    <n v="173284.65"/>
  </r>
  <r>
    <s v="ORD200766"/>
    <x v="55"/>
    <s v="C91454"/>
    <x v="4"/>
    <n v="1"/>
    <n v="9345"/>
    <n v="0.35"/>
    <s v="494 Main St"/>
    <x v="0"/>
    <s v="TRK99985340"/>
    <x v="2"/>
    <n v="3"/>
    <x v="1"/>
    <n v="9345"/>
    <n v="3270.75"/>
    <n v="6074.25"/>
  </r>
  <r>
    <s v="ORD200767"/>
    <x v="479"/>
    <s v="C19368"/>
    <x v="2"/>
    <n v="3"/>
    <n v="8044"/>
    <n v="0.01"/>
    <s v="517 Main St"/>
    <x v="2"/>
    <s v="TRK80436037"/>
    <x v="1"/>
    <n v="7"/>
    <x v="0"/>
    <n v="24132"/>
    <n v="241.32"/>
    <n v="23890.68"/>
  </r>
  <r>
    <s v="ORD200768"/>
    <x v="355"/>
    <s v="C35987"/>
    <x v="2"/>
    <n v="1"/>
    <n v="3614"/>
    <n v="0.09"/>
    <s v="165 Main St"/>
    <x v="4"/>
    <s v="TRK28918815"/>
    <x v="0"/>
    <n v="9"/>
    <x v="2"/>
    <n v="3614"/>
    <n v="325.26"/>
    <n v="3288.74"/>
  </r>
  <r>
    <s v="ORD200769"/>
    <x v="117"/>
    <s v="C13366"/>
    <x v="4"/>
    <n v="3"/>
    <n v="9584"/>
    <n v="0.3"/>
    <s v="568 Main St"/>
    <x v="4"/>
    <s v="TRK98691410"/>
    <x v="1"/>
    <n v="5"/>
    <x v="2"/>
    <n v="28752"/>
    <n v="8625.6"/>
    <n v="20126.400000000001"/>
  </r>
  <r>
    <s v="ORD200770"/>
    <x v="530"/>
    <s v="C72166"/>
    <x v="6"/>
    <n v="2"/>
    <n v="9407"/>
    <n v="0.04"/>
    <s v="227 Main St"/>
    <x v="1"/>
    <s v="TRK67733444"/>
    <x v="2"/>
    <n v="6"/>
    <x v="4"/>
    <n v="18814"/>
    <n v="752.56000000000006"/>
    <n v="18061.439999999999"/>
  </r>
  <r>
    <s v="ORD200771"/>
    <x v="520"/>
    <s v="C20357"/>
    <x v="1"/>
    <n v="1"/>
    <n v="21474"/>
    <n v="0.5"/>
    <s v="272 Main St"/>
    <x v="0"/>
    <s v="TRK82236408"/>
    <x v="0"/>
    <n v="8"/>
    <x v="4"/>
    <n v="21474"/>
    <n v="10737"/>
    <n v="10737"/>
  </r>
  <r>
    <s v="ORD200772"/>
    <x v="118"/>
    <s v="C33802"/>
    <x v="0"/>
    <n v="1"/>
    <n v="3398"/>
    <n v="0.39"/>
    <s v="461 Main St"/>
    <x v="1"/>
    <s v="TRK25799478"/>
    <x v="1"/>
    <n v="4"/>
    <x v="0"/>
    <n v="3398"/>
    <n v="1325.22"/>
    <n v="2072.7799999999997"/>
  </r>
  <r>
    <s v="ORD200773"/>
    <x v="164"/>
    <s v="C99205"/>
    <x v="1"/>
    <n v="2"/>
    <n v="23612"/>
    <n v="0.35"/>
    <s v="415 Main St"/>
    <x v="4"/>
    <s v="TRK48904015"/>
    <x v="1"/>
    <n v="7"/>
    <x v="3"/>
    <n v="47224"/>
    <n v="16528.399999999998"/>
    <n v="30695.600000000002"/>
  </r>
  <r>
    <s v="ORD200774"/>
    <x v="198"/>
    <s v="C29701"/>
    <x v="3"/>
    <n v="3"/>
    <n v="25497"/>
    <n v="0.13"/>
    <s v="257 Main St"/>
    <x v="2"/>
    <s v="TRK42266846"/>
    <x v="1"/>
    <n v="3"/>
    <x v="0"/>
    <n v="76491"/>
    <n v="9943.83"/>
    <n v="66547.17"/>
  </r>
  <r>
    <s v="ORD200775"/>
    <x v="190"/>
    <s v="C73941"/>
    <x v="1"/>
    <n v="3"/>
    <n v="48796"/>
    <n v="0.02"/>
    <s v="569 Main St"/>
    <x v="1"/>
    <s v="TRK22051900"/>
    <x v="0"/>
    <n v="5"/>
    <x v="4"/>
    <n v="146388"/>
    <n v="2927.76"/>
    <n v="143460.24"/>
  </r>
  <r>
    <s v="ORD200776"/>
    <x v="531"/>
    <s v="C69168"/>
    <x v="2"/>
    <n v="1"/>
    <n v="16336"/>
    <n v="0.49"/>
    <s v="482 Main St"/>
    <x v="4"/>
    <s v="TRK10446197"/>
    <x v="2"/>
    <n v="5"/>
    <x v="4"/>
    <n v="16336"/>
    <n v="8004.6399999999994"/>
    <n v="8331.36"/>
  </r>
  <r>
    <s v="ORD200777"/>
    <x v="438"/>
    <s v="C66116"/>
    <x v="3"/>
    <n v="3"/>
    <n v="49463"/>
    <n v="7.0000000000000007E-2"/>
    <s v="633 Main St"/>
    <x v="1"/>
    <s v="TRK41967983"/>
    <x v="2"/>
    <n v="7"/>
    <x v="3"/>
    <n v="148389"/>
    <n v="10387.230000000001"/>
    <n v="138001.76999999999"/>
  </r>
  <r>
    <s v="ORD200778"/>
    <x v="200"/>
    <s v="C85059"/>
    <x v="5"/>
    <n v="2"/>
    <n v="59248"/>
    <n v="0.42"/>
    <s v="316 Main St"/>
    <x v="2"/>
    <s v="TRK56503740"/>
    <x v="0"/>
    <n v="8"/>
    <x v="4"/>
    <n v="118496"/>
    <n v="49768.32"/>
    <n v="68727.679999999993"/>
  </r>
  <r>
    <s v="ORD200779"/>
    <x v="142"/>
    <s v="C18076"/>
    <x v="1"/>
    <n v="1"/>
    <n v="23092"/>
    <n v="0.1"/>
    <s v="751 Main St"/>
    <x v="0"/>
    <s v="TRK26661705"/>
    <x v="2"/>
    <n v="8"/>
    <x v="2"/>
    <n v="23092"/>
    <n v="2309.2000000000003"/>
    <n v="20782.8"/>
  </r>
  <r>
    <s v="ORD200780"/>
    <x v="74"/>
    <s v="C41284"/>
    <x v="5"/>
    <n v="1"/>
    <n v="29479"/>
    <n v="0.19"/>
    <s v="661 Main St"/>
    <x v="1"/>
    <s v="TRK73613128"/>
    <x v="2"/>
    <n v="4"/>
    <x v="4"/>
    <n v="29479"/>
    <n v="5601.01"/>
    <n v="23877.989999999998"/>
  </r>
  <r>
    <s v="ORD200781"/>
    <x v="532"/>
    <s v="C43524"/>
    <x v="1"/>
    <n v="1"/>
    <n v="27129"/>
    <n v="0.35"/>
    <s v="934 Main St"/>
    <x v="3"/>
    <s v="TRK51479426"/>
    <x v="1"/>
    <n v="5"/>
    <x v="1"/>
    <n v="27129"/>
    <n v="9495.15"/>
    <n v="17633.849999999999"/>
  </r>
  <r>
    <s v="ORD200782"/>
    <x v="533"/>
    <s v="C58063"/>
    <x v="0"/>
    <n v="1"/>
    <n v="7296"/>
    <n v="0.47"/>
    <s v="167 Main St"/>
    <x v="1"/>
    <s v="TRK50548869"/>
    <x v="1"/>
    <n v="6"/>
    <x v="1"/>
    <n v="7296"/>
    <n v="3429.12"/>
    <n v="3866.88"/>
  </r>
  <r>
    <s v="ORD200783"/>
    <x v="534"/>
    <s v="C19937"/>
    <x v="4"/>
    <n v="1"/>
    <n v="8837"/>
    <n v="0.01"/>
    <s v="281 Main St"/>
    <x v="3"/>
    <s v="TRK46990083"/>
    <x v="1"/>
    <n v="5"/>
    <x v="3"/>
    <n v="8837"/>
    <n v="88.37"/>
    <n v="8748.6299999999992"/>
  </r>
  <r>
    <s v="ORD200784"/>
    <x v="535"/>
    <s v="C21191"/>
    <x v="5"/>
    <n v="1"/>
    <n v="76736"/>
    <n v="0.13"/>
    <s v="232 Main St"/>
    <x v="2"/>
    <s v="TRK85771230"/>
    <x v="2"/>
    <n v="1"/>
    <x v="1"/>
    <n v="76736"/>
    <n v="9975.68"/>
    <n v="66760.320000000007"/>
  </r>
  <r>
    <s v="ORD200785"/>
    <x v="536"/>
    <s v="C45862"/>
    <x v="3"/>
    <n v="3"/>
    <n v="15567"/>
    <n v="0.38"/>
    <s v="342 Main St"/>
    <x v="2"/>
    <s v="TRK53089983"/>
    <x v="2"/>
    <n v="1"/>
    <x v="0"/>
    <n v="46701"/>
    <n v="17746.38"/>
    <n v="28954.62"/>
  </r>
  <r>
    <s v="ORD200786"/>
    <x v="421"/>
    <s v="C39130"/>
    <x v="3"/>
    <n v="3"/>
    <n v="44160"/>
    <n v="0.09"/>
    <s v="774 Main St"/>
    <x v="1"/>
    <s v="TRK99583414"/>
    <x v="1"/>
    <n v="8"/>
    <x v="1"/>
    <n v="132480"/>
    <n v="11923.199999999999"/>
    <n v="120556.8"/>
  </r>
  <r>
    <s v="ORD200787"/>
    <x v="537"/>
    <s v="C18167"/>
    <x v="6"/>
    <n v="3"/>
    <n v="6717"/>
    <n v="0.06"/>
    <s v="193 Main St"/>
    <x v="4"/>
    <s v="TRK36841089"/>
    <x v="1"/>
    <n v="7"/>
    <x v="4"/>
    <n v="20151"/>
    <n v="1209.06"/>
    <n v="18941.939999999999"/>
  </r>
  <r>
    <s v="ORD200788"/>
    <x v="208"/>
    <s v="C47307"/>
    <x v="3"/>
    <n v="2"/>
    <n v="31428"/>
    <n v="0.02"/>
    <s v="761 Main St"/>
    <x v="1"/>
    <s v="TRK43516112"/>
    <x v="2"/>
    <n v="5"/>
    <x v="0"/>
    <n v="62856"/>
    <n v="1257.1200000000001"/>
    <n v="61598.879999999997"/>
  </r>
  <r>
    <s v="ORD200789"/>
    <x v="538"/>
    <s v="C57276"/>
    <x v="2"/>
    <n v="1"/>
    <n v="18304"/>
    <n v="0.25"/>
    <s v="183 Main St"/>
    <x v="1"/>
    <s v="TRK75899752"/>
    <x v="1"/>
    <n v="10"/>
    <x v="2"/>
    <n v="18304"/>
    <n v="4576"/>
    <n v="13728"/>
  </r>
  <r>
    <s v="ORD200790"/>
    <x v="154"/>
    <s v="C38928"/>
    <x v="5"/>
    <n v="1"/>
    <n v="66828"/>
    <n v="0.38"/>
    <s v="302 Main St"/>
    <x v="3"/>
    <s v="TRK96636009"/>
    <x v="2"/>
    <n v="4"/>
    <x v="4"/>
    <n v="66828"/>
    <n v="25394.639999999999"/>
    <n v="41433.360000000001"/>
  </r>
  <r>
    <s v="ORD200791"/>
    <x v="539"/>
    <s v="C49710"/>
    <x v="3"/>
    <n v="1"/>
    <n v="46904"/>
    <n v="0.48"/>
    <s v="956 Main St"/>
    <x v="4"/>
    <s v="TRK92591237"/>
    <x v="2"/>
    <n v="8"/>
    <x v="2"/>
    <n v="46904"/>
    <n v="22513.919999999998"/>
    <n v="24390.080000000002"/>
  </r>
  <r>
    <s v="ORD200792"/>
    <x v="379"/>
    <s v="C41709"/>
    <x v="6"/>
    <n v="1"/>
    <n v="8895"/>
    <n v="0.13"/>
    <s v="746 Main St"/>
    <x v="0"/>
    <s v="TRK90995294"/>
    <x v="1"/>
    <n v="6"/>
    <x v="3"/>
    <n v="8895"/>
    <n v="1156.3500000000001"/>
    <n v="7738.65"/>
  </r>
  <r>
    <s v="ORD200793"/>
    <x v="116"/>
    <s v="C91255"/>
    <x v="3"/>
    <n v="2"/>
    <n v="17250"/>
    <n v="0.06"/>
    <s v="769 Main St"/>
    <x v="0"/>
    <s v="TRK69599961"/>
    <x v="1"/>
    <n v="8"/>
    <x v="1"/>
    <n v="34500"/>
    <n v="2070"/>
    <n v="32430"/>
  </r>
  <r>
    <s v="ORD200794"/>
    <x v="338"/>
    <s v="C76653"/>
    <x v="4"/>
    <n v="3"/>
    <n v="6534"/>
    <n v="0.2"/>
    <s v="988 Main St"/>
    <x v="1"/>
    <s v="TRK77052196"/>
    <x v="1"/>
    <n v="9"/>
    <x v="0"/>
    <n v="19602"/>
    <n v="3920.4"/>
    <n v="15681.6"/>
  </r>
  <r>
    <s v="ORD200795"/>
    <x v="540"/>
    <s v="C95667"/>
    <x v="5"/>
    <n v="2"/>
    <n v="21665"/>
    <n v="0.03"/>
    <s v="586 Main St"/>
    <x v="1"/>
    <s v="TRK41266666"/>
    <x v="2"/>
    <n v="7"/>
    <x v="0"/>
    <n v="43330"/>
    <n v="1299.8999999999999"/>
    <n v="42030.1"/>
  </r>
  <r>
    <s v="ORD200796"/>
    <x v="541"/>
    <s v="C33313"/>
    <x v="1"/>
    <n v="3"/>
    <n v="29911"/>
    <n v="0.17"/>
    <s v="882 Main St"/>
    <x v="3"/>
    <s v="TRK13349970"/>
    <x v="0"/>
    <n v="8"/>
    <x v="3"/>
    <n v="89733"/>
    <n v="15254.61"/>
    <n v="74478.39"/>
  </r>
  <r>
    <s v="ORD200797"/>
    <x v="146"/>
    <s v="C36825"/>
    <x v="5"/>
    <n v="1"/>
    <n v="31718"/>
    <n v="0.32"/>
    <s v="426 Main St"/>
    <x v="0"/>
    <s v="TRK72557318"/>
    <x v="1"/>
    <n v="2"/>
    <x v="3"/>
    <n v="31718"/>
    <n v="10149.76"/>
    <n v="21568.239999999998"/>
  </r>
  <r>
    <s v="ORD200798"/>
    <x v="542"/>
    <s v="C20861"/>
    <x v="1"/>
    <n v="1"/>
    <n v="37285"/>
    <n v="0.08"/>
    <s v="968 Main St"/>
    <x v="0"/>
    <s v="TRK89372013"/>
    <x v="0"/>
    <n v="9"/>
    <x v="2"/>
    <n v="37285"/>
    <n v="2982.8"/>
    <n v="34302.199999999997"/>
  </r>
  <r>
    <s v="ORD200799"/>
    <x v="397"/>
    <s v="C26364"/>
    <x v="5"/>
    <n v="2"/>
    <n v="34256"/>
    <n v="0.32"/>
    <s v="803 Main St"/>
    <x v="0"/>
    <s v="TRK78924436"/>
    <x v="2"/>
    <n v="4"/>
    <x v="2"/>
    <n v="68512"/>
    <n v="21923.84"/>
    <n v="46588.160000000003"/>
  </r>
  <r>
    <s v="ORD200800"/>
    <x v="210"/>
    <s v="C34686"/>
    <x v="2"/>
    <n v="3"/>
    <n v="3914"/>
    <n v="0.49"/>
    <s v="412 Main St"/>
    <x v="1"/>
    <s v="TRK99468332"/>
    <x v="0"/>
    <n v="3"/>
    <x v="3"/>
    <n v="11742"/>
    <n v="5753.58"/>
    <n v="5988.42"/>
  </r>
  <r>
    <s v="ORD200801"/>
    <x v="71"/>
    <s v="C97593"/>
    <x v="4"/>
    <n v="1"/>
    <n v="5059"/>
    <n v="0.43"/>
    <s v="738 Main St"/>
    <x v="0"/>
    <s v="TRK58443593"/>
    <x v="2"/>
    <n v="8"/>
    <x v="3"/>
    <n v="5059"/>
    <n v="2175.37"/>
    <n v="2883.63"/>
  </r>
  <r>
    <s v="ORD200802"/>
    <x v="11"/>
    <s v="C84331"/>
    <x v="3"/>
    <n v="1"/>
    <n v="45949"/>
    <n v="0.18"/>
    <s v="205 Main St"/>
    <x v="3"/>
    <s v="TRK34440714"/>
    <x v="2"/>
    <n v="6"/>
    <x v="2"/>
    <n v="45949"/>
    <n v="8270.82"/>
    <n v="37678.18"/>
  </r>
  <r>
    <s v="ORD200803"/>
    <x v="38"/>
    <s v="C88775"/>
    <x v="0"/>
    <n v="3"/>
    <n v="3046"/>
    <n v="0.21"/>
    <s v="223 Main St"/>
    <x v="0"/>
    <s v="TRK45098068"/>
    <x v="2"/>
    <n v="5"/>
    <x v="1"/>
    <n v="9138"/>
    <n v="1918.98"/>
    <n v="7219.02"/>
  </r>
  <r>
    <s v="ORD200804"/>
    <x v="543"/>
    <s v="C76362"/>
    <x v="3"/>
    <n v="2"/>
    <n v="43793"/>
    <n v="0.21"/>
    <s v="916 Main St"/>
    <x v="1"/>
    <s v="TRK11868618"/>
    <x v="1"/>
    <n v="8"/>
    <x v="2"/>
    <n v="87586"/>
    <n v="18393.059999999998"/>
    <n v="69192.94"/>
  </r>
  <r>
    <s v="ORD200805"/>
    <x v="12"/>
    <s v="C59278"/>
    <x v="5"/>
    <n v="2"/>
    <n v="26461"/>
    <n v="0.43"/>
    <s v="178 Main St"/>
    <x v="3"/>
    <s v="TRK14590037"/>
    <x v="1"/>
    <n v="10"/>
    <x v="2"/>
    <n v="52922"/>
    <n v="22756.46"/>
    <n v="30165.54"/>
  </r>
  <r>
    <s v="ORD200806"/>
    <x v="544"/>
    <s v="C55819"/>
    <x v="3"/>
    <n v="2"/>
    <n v="17603"/>
    <n v="0.5"/>
    <s v="740 Main St"/>
    <x v="1"/>
    <s v="TRK13775054"/>
    <x v="2"/>
    <n v="9"/>
    <x v="0"/>
    <n v="35206"/>
    <n v="17603"/>
    <n v="17603"/>
  </r>
  <r>
    <s v="ORD200807"/>
    <x v="337"/>
    <s v="C82344"/>
    <x v="0"/>
    <n v="3"/>
    <n v="6731"/>
    <n v="0.41"/>
    <s v="260 Main St"/>
    <x v="1"/>
    <s v="TRK70957219"/>
    <x v="1"/>
    <n v="5"/>
    <x v="4"/>
    <n v="20193"/>
    <n v="8279.1299999999992"/>
    <n v="11913.87"/>
  </r>
  <r>
    <s v="ORD200808"/>
    <x v="545"/>
    <s v="C65565"/>
    <x v="6"/>
    <n v="1"/>
    <n v="8712"/>
    <n v="0.28000000000000003"/>
    <s v="192 Main St"/>
    <x v="2"/>
    <s v="TRK80383756"/>
    <x v="0"/>
    <n v="3"/>
    <x v="4"/>
    <n v="8712"/>
    <n v="2439.36"/>
    <n v="6272.6399999999994"/>
  </r>
  <r>
    <s v="ORD200809"/>
    <x v="398"/>
    <s v="C80416"/>
    <x v="6"/>
    <n v="1"/>
    <n v="7264"/>
    <n v="0.05"/>
    <s v="752 Main St"/>
    <x v="0"/>
    <s v="TRK54385892"/>
    <x v="0"/>
    <n v="10"/>
    <x v="0"/>
    <n v="7264"/>
    <n v="363.20000000000005"/>
    <n v="6900.8"/>
  </r>
  <r>
    <s v="ORD200810"/>
    <x v="546"/>
    <s v="C23637"/>
    <x v="2"/>
    <n v="1"/>
    <n v="5452"/>
    <n v="0.48"/>
    <s v="644 Main St"/>
    <x v="2"/>
    <s v="TRK16749863"/>
    <x v="1"/>
    <n v="5"/>
    <x v="1"/>
    <n v="5452"/>
    <n v="2616.96"/>
    <n v="2835.04"/>
  </r>
  <r>
    <s v="ORD200811"/>
    <x v="212"/>
    <s v="C24769"/>
    <x v="5"/>
    <n v="1"/>
    <n v="31913"/>
    <n v="0.43"/>
    <s v="864 Main St"/>
    <x v="3"/>
    <s v="TRK44538305"/>
    <x v="0"/>
    <n v="7"/>
    <x v="2"/>
    <n v="31913"/>
    <n v="13722.59"/>
    <n v="18190.41"/>
  </r>
  <r>
    <s v="ORD200812"/>
    <x v="547"/>
    <s v="C81547"/>
    <x v="1"/>
    <n v="1"/>
    <n v="22878"/>
    <n v="0.42"/>
    <s v="803 Main St"/>
    <x v="2"/>
    <s v="TRK88437123"/>
    <x v="1"/>
    <n v="6"/>
    <x v="4"/>
    <n v="22878"/>
    <n v="9608.76"/>
    <n v="13269.24"/>
  </r>
  <r>
    <s v="ORD200813"/>
    <x v="175"/>
    <s v="C12813"/>
    <x v="5"/>
    <n v="2"/>
    <n v="51996"/>
    <n v="0.2"/>
    <s v="263 Main St"/>
    <x v="0"/>
    <s v="TRK36131660"/>
    <x v="1"/>
    <n v="8"/>
    <x v="2"/>
    <n v="103992"/>
    <n v="20798.400000000001"/>
    <n v="83193.600000000006"/>
  </r>
  <r>
    <s v="ORD200814"/>
    <x v="218"/>
    <s v="C50732"/>
    <x v="3"/>
    <n v="1"/>
    <n v="38505"/>
    <n v="0.22"/>
    <s v="979 Main St"/>
    <x v="0"/>
    <s v="TRK21082461"/>
    <x v="2"/>
    <n v="4"/>
    <x v="0"/>
    <n v="38505"/>
    <n v="8471.1"/>
    <n v="30033.9"/>
  </r>
  <r>
    <s v="ORD200815"/>
    <x v="548"/>
    <s v="C41320"/>
    <x v="4"/>
    <n v="2"/>
    <n v="6932"/>
    <n v="0.06"/>
    <s v="920 Main St"/>
    <x v="3"/>
    <s v="TRK77539180"/>
    <x v="0"/>
    <n v="8"/>
    <x v="0"/>
    <n v="13864"/>
    <n v="831.83999999999992"/>
    <n v="13032.16"/>
  </r>
  <r>
    <s v="ORD200816"/>
    <x v="444"/>
    <s v="C55286"/>
    <x v="2"/>
    <n v="1"/>
    <n v="12548"/>
    <n v="0.47"/>
    <s v="497 Main St"/>
    <x v="2"/>
    <s v="TRK39058734"/>
    <x v="2"/>
    <n v="8"/>
    <x v="1"/>
    <n v="12548"/>
    <n v="5897.5599999999995"/>
    <n v="6650.4400000000005"/>
  </r>
  <r>
    <s v="ORD200817"/>
    <x v="469"/>
    <s v="C87994"/>
    <x v="3"/>
    <n v="1"/>
    <n v="17956"/>
    <n v="0.47"/>
    <s v="430 Main St"/>
    <x v="2"/>
    <s v="TRK98883971"/>
    <x v="1"/>
    <n v="7"/>
    <x v="2"/>
    <n v="17956"/>
    <n v="8439.32"/>
    <n v="9516.68"/>
  </r>
  <r>
    <s v="ORD200818"/>
    <x v="521"/>
    <s v="C25580"/>
    <x v="1"/>
    <n v="1"/>
    <n v="36342"/>
    <n v="0.13"/>
    <s v="860 Main St"/>
    <x v="2"/>
    <s v="TRK58781638"/>
    <x v="2"/>
    <n v="9"/>
    <x v="1"/>
    <n v="36342"/>
    <n v="4724.46"/>
    <n v="31617.54"/>
  </r>
  <r>
    <s v="ORD200819"/>
    <x v="335"/>
    <s v="C66196"/>
    <x v="1"/>
    <n v="2"/>
    <n v="36657"/>
    <n v="0.35"/>
    <s v="650 Main St"/>
    <x v="0"/>
    <s v="TRK38104650"/>
    <x v="1"/>
    <n v="7"/>
    <x v="4"/>
    <n v="73314"/>
    <n v="25659.899999999998"/>
    <n v="47654.100000000006"/>
  </r>
  <r>
    <s v="ORD200820"/>
    <x v="156"/>
    <s v="C35377"/>
    <x v="1"/>
    <n v="3"/>
    <n v="15370"/>
    <n v="0.1"/>
    <s v="171 Main St"/>
    <x v="4"/>
    <s v="TRK17342157"/>
    <x v="2"/>
    <n v="6"/>
    <x v="2"/>
    <n v="46110"/>
    <n v="4611"/>
    <n v="41499"/>
  </r>
  <r>
    <s v="ORD200821"/>
    <x v="549"/>
    <s v="C40771"/>
    <x v="5"/>
    <n v="1"/>
    <n v="73954"/>
    <n v="0.2"/>
    <s v="259 Main St"/>
    <x v="2"/>
    <s v="TRK56310345"/>
    <x v="1"/>
    <n v="5"/>
    <x v="3"/>
    <n v="73954"/>
    <n v="14790.800000000001"/>
    <n v="59163.199999999997"/>
  </r>
  <r>
    <s v="ORD200822"/>
    <x v="175"/>
    <s v="C20624"/>
    <x v="1"/>
    <n v="3"/>
    <n v="21448"/>
    <n v="0.15"/>
    <s v="923 Main St"/>
    <x v="3"/>
    <s v="TRK45123395"/>
    <x v="2"/>
    <n v="1"/>
    <x v="4"/>
    <n v="64344"/>
    <n v="9651.6"/>
    <n v="54692.4"/>
  </r>
  <r>
    <s v="ORD200823"/>
    <x v="550"/>
    <s v="C27070"/>
    <x v="5"/>
    <n v="1"/>
    <n v="38462"/>
    <n v="0.19"/>
    <s v="973 Main St"/>
    <x v="2"/>
    <s v="TRK83842481"/>
    <x v="0"/>
    <n v="8"/>
    <x v="0"/>
    <n v="38462"/>
    <n v="7307.78"/>
    <n v="31154.22"/>
  </r>
  <r>
    <s v="ORD200824"/>
    <x v="193"/>
    <s v="C18826"/>
    <x v="0"/>
    <n v="2"/>
    <n v="4742"/>
    <n v="0.15"/>
    <s v="664 Main St"/>
    <x v="2"/>
    <s v="TRK12530495"/>
    <x v="2"/>
    <n v="3"/>
    <x v="3"/>
    <n v="9484"/>
    <n v="1422.6"/>
    <n v="8061.4"/>
  </r>
  <r>
    <s v="ORD200825"/>
    <x v="18"/>
    <s v="C23899"/>
    <x v="6"/>
    <n v="2"/>
    <n v="9790"/>
    <n v="0.17"/>
    <s v="543 Main St"/>
    <x v="1"/>
    <s v="TRK88914760"/>
    <x v="1"/>
    <n v="7"/>
    <x v="0"/>
    <n v="19580"/>
    <n v="3328.6000000000004"/>
    <n v="16251.4"/>
  </r>
  <r>
    <s v="ORD200826"/>
    <x v="177"/>
    <s v="C43249"/>
    <x v="4"/>
    <n v="2"/>
    <n v="7697"/>
    <n v="0.4"/>
    <s v="283 Main St"/>
    <x v="1"/>
    <s v="TRK32469820"/>
    <x v="0"/>
    <n v="8"/>
    <x v="2"/>
    <n v="15394"/>
    <n v="6157.6"/>
    <n v="9236.4"/>
  </r>
  <r>
    <s v="ORD200827"/>
    <x v="551"/>
    <s v="C95856"/>
    <x v="2"/>
    <n v="3"/>
    <n v="11709"/>
    <n v="0.15"/>
    <s v="432 Main St"/>
    <x v="4"/>
    <s v="TRK58829625"/>
    <x v="1"/>
    <n v="5"/>
    <x v="0"/>
    <n v="35127"/>
    <n v="5269.05"/>
    <n v="29857.95"/>
  </r>
  <r>
    <s v="ORD200828"/>
    <x v="25"/>
    <s v="C86266"/>
    <x v="3"/>
    <n v="1"/>
    <n v="21189"/>
    <n v="0.41"/>
    <s v="510 Main St"/>
    <x v="4"/>
    <s v="TRK64576020"/>
    <x v="0"/>
    <n v="5"/>
    <x v="0"/>
    <n v="21189"/>
    <n v="8687.49"/>
    <n v="12501.51"/>
  </r>
  <r>
    <s v="ORD200829"/>
    <x v="483"/>
    <s v="C39551"/>
    <x v="0"/>
    <n v="2"/>
    <n v="2714"/>
    <n v="0.28000000000000003"/>
    <s v="685 Main St"/>
    <x v="0"/>
    <s v="TRK68358007"/>
    <x v="1"/>
    <n v="6"/>
    <x v="0"/>
    <n v="5428"/>
    <n v="1519.8400000000001"/>
    <n v="3908.16"/>
  </r>
  <r>
    <s v="ORD200830"/>
    <x v="218"/>
    <s v="C90310"/>
    <x v="2"/>
    <n v="2"/>
    <n v="16411"/>
    <n v="0.39"/>
    <s v="853 Main St"/>
    <x v="4"/>
    <s v="TRK70028457"/>
    <x v="1"/>
    <n v="5"/>
    <x v="2"/>
    <n v="32822"/>
    <n v="12800.58"/>
    <n v="20021.419999999998"/>
  </r>
  <r>
    <s v="ORD200831"/>
    <x v="552"/>
    <s v="C20124"/>
    <x v="4"/>
    <n v="3"/>
    <n v="7845"/>
    <n v="0.46"/>
    <s v="140 Main St"/>
    <x v="1"/>
    <s v="TRK61346824"/>
    <x v="2"/>
    <n v="5"/>
    <x v="4"/>
    <n v="23535"/>
    <n v="10826.1"/>
    <n v="12708.9"/>
  </r>
  <r>
    <s v="ORD200832"/>
    <x v="553"/>
    <s v="C63372"/>
    <x v="3"/>
    <n v="2"/>
    <n v="24588"/>
    <n v="7.0000000000000007E-2"/>
    <s v="903 Main St"/>
    <x v="1"/>
    <s v="TRK14661811"/>
    <x v="2"/>
    <n v="10"/>
    <x v="1"/>
    <n v="49176"/>
    <n v="3442.32"/>
    <n v="45733.68"/>
  </r>
  <r>
    <s v="ORD200833"/>
    <x v="387"/>
    <s v="C90595"/>
    <x v="1"/>
    <n v="1"/>
    <n v="47683"/>
    <n v="0.17"/>
    <s v="508 Main St"/>
    <x v="2"/>
    <s v="TRK96573803"/>
    <x v="0"/>
    <n v="5"/>
    <x v="1"/>
    <n v="47683"/>
    <n v="8106.1100000000006"/>
    <n v="39576.89"/>
  </r>
  <r>
    <s v="ORD200834"/>
    <x v="166"/>
    <s v="C98483"/>
    <x v="4"/>
    <n v="1"/>
    <n v="5632"/>
    <n v="0.03"/>
    <s v="456 Main St"/>
    <x v="4"/>
    <s v="TRK22084320"/>
    <x v="0"/>
    <n v="10"/>
    <x v="0"/>
    <n v="5632"/>
    <n v="168.95999999999998"/>
    <n v="5463.04"/>
  </r>
  <r>
    <s v="ORD200835"/>
    <x v="290"/>
    <s v="C16429"/>
    <x v="6"/>
    <n v="2"/>
    <n v="4969"/>
    <n v="0.2"/>
    <s v="390 Main St"/>
    <x v="0"/>
    <s v="TRK73888013"/>
    <x v="0"/>
    <n v="6"/>
    <x v="4"/>
    <n v="9938"/>
    <n v="1987.6000000000001"/>
    <n v="7950.4"/>
  </r>
  <r>
    <s v="ORD200836"/>
    <x v="488"/>
    <s v="C31810"/>
    <x v="1"/>
    <n v="3"/>
    <n v="28883"/>
    <n v="0.12"/>
    <s v="328 Main St"/>
    <x v="2"/>
    <s v="TRK58725886"/>
    <x v="2"/>
    <n v="2"/>
    <x v="4"/>
    <n v="86649"/>
    <n v="10397.879999999999"/>
    <n v="76251.12"/>
  </r>
  <r>
    <s v="ORD200837"/>
    <x v="554"/>
    <s v="C88029"/>
    <x v="3"/>
    <n v="3"/>
    <n v="15051"/>
    <n v="0.28999999999999998"/>
    <s v="282 Main St"/>
    <x v="1"/>
    <s v="TRK59701278"/>
    <x v="1"/>
    <n v="5"/>
    <x v="2"/>
    <n v="45153"/>
    <n v="13094.369999999999"/>
    <n v="32058.63"/>
  </r>
  <r>
    <s v="ORD200838"/>
    <x v="166"/>
    <s v="C57798"/>
    <x v="6"/>
    <n v="1"/>
    <n v="4751"/>
    <n v="0.39"/>
    <s v="384 Main St"/>
    <x v="1"/>
    <s v="TRK68797566"/>
    <x v="2"/>
    <n v="8"/>
    <x v="3"/>
    <n v="4751"/>
    <n v="1852.89"/>
    <n v="2898.1099999999997"/>
  </r>
  <r>
    <s v="ORD200839"/>
    <x v="318"/>
    <s v="C82858"/>
    <x v="3"/>
    <n v="3"/>
    <n v="35447"/>
    <n v="0.24"/>
    <s v="551 Main St"/>
    <x v="1"/>
    <s v="TRK90618490"/>
    <x v="0"/>
    <n v="5"/>
    <x v="4"/>
    <n v="106341"/>
    <n v="25521.84"/>
    <n v="80819.16"/>
  </r>
  <r>
    <s v="ORD200840"/>
    <x v="555"/>
    <s v="C60699"/>
    <x v="3"/>
    <n v="3"/>
    <n v="41138"/>
    <n v="0.17"/>
    <s v="672 Main St"/>
    <x v="2"/>
    <s v="TRK88660574"/>
    <x v="1"/>
    <n v="7"/>
    <x v="1"/>
    <n v="123414"/>
    <n v="20980.38"/>
    <n v="102433.62"/>
  </r>
  <r>
    <s v="ORD200841"/>
    <x v="556"/>
    <s v="C94658"/>
    <x v="4"/>
    <n v="3"/>
    <n v="7115"/>
    <n v="0.08"/>
    <s v="742 Main St"/>
    <x v="2"/>
    <s v="TRK51732528"/>
    <x v="1"/>
    <n v="5"/>
    <x v="3"/>
    <n v="21345"/>
    <n v="1707.6000000000001"/>
    <n v="19637.400000000001"/>
  </r>
  <r>
    <s v="ORD200842"/>
    <x v="106"/>
    <s v="C78305"/>
    <x v="5"/>
    <n v="2"/>
    <n v="72384"/>
    <n v="0.01"/>
    <s v="396 Main St"/>
    <x v="1"/>
    <s v="TRK88312618"/>
    <x v="2"/>
    <n v="7"/>
    <x v="1"/>
    <n v="144768"/>
    <n v="1447.68"/>
    <n v="143320.32000000001"/>
  </r>
  <r>
    <s v="ORD200843"/>
    <x v="557"/>
    <s v="C43538"/>
    <x v="6"/>
    <n v="2"/>
    <n v="4985"/>
    <n v="0.34"/>
    <s v="534 Main St"/>
    <x v="3"/>
    <s v="TRK20961563"/>
    <x v="2"/>
    <n v="8"/>
    <x v="0"/>
    <n v="9970"/>
    <n v="3389.8"/>
    <n v="6580.2"/>
  </r>
  <r>
    <s v="ORD200844"/>
    <x v="558"/>
    <s v="C47486"/>
    <x v="3"/>
    <n v="1"/>
    <n v="42780"/>
    <n v="0.02"/>
    <s v="883 Main St"/>
    <x v="1"/>
    <s v="TRK75984759"/>
    <x v="0"/>
    <n v="5"/>
    <x v="3"/>
    <n v="42780"/>
    <n v="855.6"/>
    <n v="41924.400000000001"/>
  </r>
  <r>
    <s v="ORD200845"/>
    <x v="345"/>
    <s v="C24212"/>
    <x v="1"/>
    <n v="1"/>
    <n v="38831"/>
    <n v="0.46"/>
    <s v="808 Main St"/>
    <x v="3"/>
    <s v="TRK68894675"/>
    <x v="1"/>
    <n v="5"/>
    <x v="4"/>
    <n v="38831"/>
    <n v="17862.260000000002"/>
    <n v="20968.739999999998"/>
  </r>
  <r>
    <s v="ORD200846"/>
    <x v="502"/>
    <s v="C24765"/>
    <x v="6"/>
    <n v="2"/>
    <n v="7871"/>
    <n v="0.3"/>
    <s v="646 Main St"/>
    <x v="0"/>
    <s v="TRK43977698"/>
    <x v="1"/>
    <n v="4"/>
    <x v="1"/>
    <n v="15742"/>
    <n v="4722.5999999999995"/>
    <n v="11019.400000000001"/>
  </r>
  <r>
    <s v="ORD200847"/>
    <x v="249"/>
    <s v="C48176"/>
    <x v="4"/>
    <n v="1"/>
    <n v="8065"/>
    <n v="0.18"/>
    <s v="670 Main St"/>
    <x v="1"/>
    <s v="TRK90560300"/>
    <x v="0"/>
    <n v="8"/>
    <x v="2"/>
    <n v="8065"/>
    <n v="1451.7"/>
    <n v="6613.3"/>
  </r>
  <r>
    <s v="ORD200848"/>
    <x v="107"/>
    <s v="C54675"/>
    <x v="3"/>
    <n v="2"/>
    <n v="25972"/>
    <n v="0.02"/>
    <s v="634 Main St"/>
    <x v="1"/>
    <s v="TRK18049633"/>
    <x v="0"/>
    <n v="5"/>
    <x v="1"/>
    <n v="51944"/>
    <n v="1038.8800000000001"/>
    <n v="50905.120000000003"/>
  </r>
  <r>
    <s v="ORD200849"/>
    <x v="559"/>
    <s v="C16675"/>
    <x v="4"/>
    <n v="1"/>
    <n v="9180"/>
    <n v="0.21"/>
    <s v="664 Main St"/>
    <x v="0"/>
    <s v="TRK12756945"/>
    <x v="2"/>
    <n v="7"/>
    <x v="1"/>
    <n v="9180"/>
    <n v="1927.8"/>
    <n v="7252.2"/>
  </r>
  <r>
    <s v="ORD200850"/>
    <x v="560"/>
    <s v="C38557"/>
    <x v="0"/>
    <n v="2"/>
    <n v="8297"/>
    <n v="0.43"/>
    <s v="890 Main St"/>
    <x v="0"/>
    <s v="TRK14832238"/>
    <x v="1"/>
    <n v="4"/>
    <x v="0"/>
    <n v="16594"/>
    <n v="7135.42"/>
    <n v="9458.58"/>
  </r>
  <r>
    <s v="ORD200851"/>
    <x v="427"/>
    <s v="C80183"/>
    <x v="5"/>
    <n v="1"/>
    <n v="40032"/>
    <n v="0.48"/>
    <s v="146 Main St"/>
    <x v="1"/>
    <s v="TRK20814598"/>
    <x v="0"/>
    <n v="5"/>
    <x v="2"/>
    <n v="40032"/>
    <n v="19215.36"/>
    <n v="20816.64"/>
  </r>
  <r>
    <s v="ORD200852"/>
    <x v="101"/>
    <s v="C39530"/>
    <x v="6"/>
    <n v="1"/>
    <n v="6135"/>
    <n v="0.04"/>
    <s v="618 Main St"/>
    <x v="3"/>
    <s v="TRK69000497"/>
    <x v="2"/>
    <n v="6"/>
    <x v="4"/>
    <n v="6135"/>
    <n v="245.4"/>
    <n v="5889.6"/>
  </r>
  <r>
    <s v="ORD200853"/>
    <x v="504"/>
    <s v="C10002"/>
    <x v="4"/>
    <n v="1"/>
    <n v="8688"/>
    <n v="0.39"/>
    <s v="894 Main St"/>
    <x v="4"/>
    <s v="TRK94641152"/>
    <x v="1"/>
    <n v="4"/>
    <x v="3"/>
    <n v="8688"/>
    <n v="3388.32"/>
    <n v="5299.68"/>
  </r>
  <r>
    <s v="ORD200854"/>
    <x v="399"/>
    <s v="C56938"/>
    <x v="5"/>
    <n v="2"/>
    <n v="23238"/>
    <n v="0.13"/>
    <s v="356 Main St"/>
    <x v="2"/>
    <s v="TRK67735987"/>
    <x v="1"/>
    <n v="7"/>
    <x v="1"/>
    <n v="46476"/>
    <n v="6041.88"/>
    <n v="40434.120000000003"/>
  </r>
  <r>
    <s v="ORD200855"/>
    <x v="551"/>
    <s v="C41331"/>
    <x v="0"/>
    <n v="2"/>
    <n v="2792"/>
    <n v="0.19"/>
    <s v="785 Main St"/>
    <x v="2"/>
    <s v="TRK94198179"/>
    <x v="0"/>
    <n v="10"/>
    <x v="2"/>
    <n v="5584"/>
    <n v="1060.96"/>
    <n v="4523.04"/>
  </r>
  <r>
    <s v="ORD200856"/>
    <x v="561"/>
    <s v="C94698"/>
    <x v="1"/>
    <n v="2"/>
    <n v="35138"/>
    <n v="0.27"/>
    <s v="871 Main St"/>
    <x v="0"/>
    <s v="TRK95768773"/>
    <x v="0"/>
    <n v="5"/>
    <x v="3"/>
    <n v="70276"/>
    <n v="18974.52"/>
    <n v="51301.479999999996"/>
  </r>
  <r>
    <s v="ORD200857"/>
    <x v="416"/>
    <s v="C56506"/>
    <x v="1"/>
    <n v="3"/>
    <n v="45690"/>
    <n v="0.5"/>
    <s v="185 Main St"/>
    <x v="1"/>
    <s v="TRK86808324"/>
    <x v="1"/>
    <n v="4"/>
    <x v="0"/>
    <n v="137070"/>
    <n v="68535"/>
    <n v="68535"/>
  </r>
  <r>
    <s v="ORD200858"/>
    <x v="38"/>
    <s v="C22167"/>
    <x v="2"/>
    <n v="3"/>
    <n v="4074"/>
    <n v="0.1"/>
    <s v="891 Main St"/>
    <x v="1"/>
    <s v="TRK70269748"/>
    <x v="2"/>
    <n v="9"/>
    <x v="3"/>
    <n v="12222"/>
    <n v="1222.2"/>
    <n v="10999.8"/>
  </r>
  <r>
    <s v="ORD200859"/>
    <x v="562"/>
    <s v="C11127"/>
    <x v="3"/>
    <n v="2"/>
    <n v="46205"/>
    <n v="7.0000000000000007E-2"/>
    <s v="154 Main St"/>
    <x v="2"/>
    <s v="TRK73285507"/>
    <x v="0"/>
    <n v="5"/>
    <x v="1"/>
    <n v="92410"/>
    <n v="6468.7000000000007"/>
    <n v="85941.3"/>
  </r>
  <r>
    <s v="ORD200860"/>
    <x v="514"/>
    <s v="C69542"/>
    <x v="4"/>
    <n v="2"/>
    <n v="9022"/>
    <n v="0.3"/>
    <s v="876 Main St"/>
    <x v="4"/>
    <s v="TRK20746505"/>
    <x v="1"/>
    <n v="1"/>
    <x v="4"/>
    <n v="18044"/>
    <n v="5413.2"/>
    <n v="12630.8"/>
  </r>
  <r>
    <s v="ORD200861"/>
    <x v="111"/>
    <s v="C93276"/>
    <x v="6"/>
    <n v="1"/>
    <n v="4161"/>
    <n v="0.43"/>
    <s v="230 Main St"/>
    <x v="3"/>
    <s v="TRK44165913"/>
    <x v="0"/>
    <n v="10"/>
    <x v="4"/>
    <n v="4161"/>
    <n v="1789.23"/>
    <n v="2371.77"/>
  </r>
  <r>
    <s v="ORD200862"/>
    <x v="278"/>
    <s v="C37969"/>
    <x v="6"/>
    <n v="2"/>
    <n v="7623"/>
    <n v="0.32"/>
    <s v="799 Main St"/>
    <x v="2"/>
    <s v="TRK69852386"/>
    <x v="0"/>
    <n v="5"/>
    <x v="1"/>
    <n v="15246"/>
    <n v="4878.72"/>
    <n v="10367.279999999999"/>
  </r>
  <r>
    <s v="ORD200863"/>
    <x v="199"/>
    <s v="C98276"/>
    <x v="1"/>
    <n v="3"/>
    <n v="16084"/>
    <n v="0.17"/>
    <s v="471 Main St"/>
    <x v="2"/>
    <s v="TRK74207282"/>
    <x v="2"/>
    <n v="5"/>
    <x v="1"/>
    <n v="48252"/>
    <n v="8202.84"/>
    <n v="40049.160000000003"/>
  </r>
  <r>
    <s v="ORD200864"/>
    <x v="71"/>
    <s v="C14240"/>
    <x v="6"/>
    <n v="1"/>
    <n v="3711"/>
    <n v="0.49"/>
    <s v="592 Main St"/>
    <x v="2"/>
    <s v="TRK58095246"/>
    <x v="1"/>
    <n v="4"/>
    <x v="3"/>
    <n v="3711"/>
    <n v="1818.3899999999999"/>
    <n v="1892.6100000000001"/>
  </r>
  <r>
    <s v="ORD200865"/>
    <x v="563"/>
    <s v="C72241"/>
    <x v="0"/>
    <n v="2"/>
    <n v="1054"/>
    <n v="0.5"/>
    <s v="156 Main St"/>
    <x v="4"/>
    <s v="TRK76270481"/>
    <x v="2"/>
    <n v="8"/>
    <x v="4"/>
    <n v="2108"/>
    <n v="1054"/>
    <n v="1054"/>
  </r>
  <r>
    <s v="ORD200866"/>
    <x v="503"/>
    <s v="C39664"/>
    <x v="6"/>
    <n v="1"/>
    <n v="3649"/>
    <n v="0.39"/>
    <s v="693 Main St"/>
    <x v="0"/>
    <s v="TRK39917741"/>
    <x v="2"/>
    <n v="10"/>
    <x v="2"/>
    <n v="3649"/>
    <n v="1423.1100000000001"/>
    <n v="2225.89"/>
  </r>
  <r>
    <s v="ORD200867"/>
    <x v="564"/>
    <s v="C53252"/>
    <x v="4"/>
    <n v="1"/>
    <n v="7130"/>
    <n v="0.4"/>
    <s v="351 Main St"/>
    <x v="4"/>
    <s v="TRK65831261"/>
    <x v="1"/>
    <n v="4"/>
    <x v="3"/>
    <n v="7130"/>
    <n v="2852"/>
    <n v="4278"/>
  </r>
  <r>
    <s v="ORD200868"/>
    <x v="310"/>
    <s v="C70452"/>
    <x v="0"/>
    <n v="3"/>
    <n v="7534"/>
    <n v="0.38"/>
    <s v="309 Main St"/>
    <x v="0"/>
    <s v="TRK42985882"/>
    <x v="1"/>
    <n v="7"/>
    <x v="3"/>
    <n v="22602"/>
    <n v="8588.76"/>
    <n v="14013.24"/>
  </r>
  <r>
    <s v="ORD200869"/>
    <x v="537"/>
    <s v="C29905"/>
    <x v="6"/>
    <n v="2"/>
    <n v="9828"/>
    <n v="0.13"/>
    <s v="790 Main St"/>
    <x v="1"/>
    <s v="TRK16788127"/>
    <x v="1"/>
    <n v="5"/>
    <x v="4"/>
    <n v="19656"/>
    <n v="2555.2800000000002"/>
    <n v="17100.72"/>
  </r>
  <r>
    <s v="ORD200870"/>
    <x v="565"/>
    <s v="C78725"/>
    <x v="1"/>
    <n v="2"/>
    <n v="31191"/>
    <n v="0.08"/>
    <s v="541 Main St"/>
    <x v="0"/>
    <s v="TRK72001139"/>
    <x v="1"/>
    <n v="4"/>
    <x v="4"/>
    <n v="62382"/>
    <n v="4990.5600000000004"/>
    <n v="57391.44"/>
  </r>
  <r>
    <s v="ORD200871"/>
    <x v="149"/>
    <s v="C93768"/>
    <x v="2"/>
    <n v="1"/>
    <n v="9514"/>
    <n v="0.28000000000000003"/>
    <s v="720 Main St"/>
    <x v="0"/>
    <s v="TRK22024707"/>
    <x v="2"/>
    <n v="8"/>
    <x v="2"/>
    <n v="9514"/>
    <n v="2663.92"/>
    <n v="6850.08"/>
  </r>
  <r>
    <s v="ORD200872"/>
    <x v="566"/>
    <s v="C59169"/>
    <x v="3"/>
    <n v="1"/>
    <n v="17712"/>
    <n v="0.48"/>
    <s v="172 Main St"/>
    <x v="4"/>
    <s v="TRK90883858"/>
    <x v="0"/>
    <n v="7"/>
    <x v="2"/>
    <n v="17712"/>
    <n v="8501.76"/>
    <n v="9210.24"/>
  </r>
  <r>
    <s v="ORD200873"/>
    <x v="258"/>
    <s v="C53488"/>
    <x v="6"/>
    <n v="3"/>
    <n v="3928"/>
    <n v="0.44"/>
    <s v="448 Main St"/>
    <x v="4"/>
    <s v="TRK27365050"/>
    <x v="1"/>
    <n v="3"/>
    <x v="3"/>
    <n v="11784"/>
    <n v="5184.96"/>
    <n v="6599.04"/>
  </r>
  <r>
    <s v="ORD200874"/>
    <x v="150"/>
    <s v="C92180"/>
    <x v="3"/>
    <n v="1"/>
    <n v="37226"/>
    <n v="0.05"/>
    <s v="632 Main St"/>
    <x v="4"/>
    <s v="TRK93315929"/>
    <x v="1"/>
    <n v="7"/>
    <x v="3"/>
    <n v="37226"/>
    <n v="1861.3000000000002"/>
    <n v="35364.699999999997"/>
  </r>
  <r>
    <s v="ORD200875"/>
    <x v="567"/>
    <s v="C25918"/>
    <x v="5"/>
    <n v="2"/>
    <n v="63659"/>
    <n v="0.03"/>
    <s v="203 Main St"/>
    <x v="2"/>
    <s v="TRK66473392"/>
    <x v="1"/>
    <n v="6"/>
    <x v="1"/>
    <n v="127318"/>
    <n v="3819.54"/>
    <n v="123498.46"/>
  </r>
  <r>
    <s v="ORD200876"/>
    <x v="410"/>
    <s v="C90363"/>
    <x v="3"/>
    <n v="1"/>
    <n v="32106"/>
    <n v="0.44"/>
    <s v="200 Main St"/>
    <x v="3"/>
    <s v="TRK21534173"/>
    <x v="2"/>
    <n v="6"/>
    <x v="4"/>
    <n v="32106"/>
    <n v="14126.64"/>
    <n v="17979.36"/>
  </r>
  <r>
    <s v="ORD200877"/>
    <x v="568"/>
    <s v="C43867"/>
    <x v="2"/>
    <n v="2"/>
    <n v="4078"/>
    <n v="0.31"/>
    <s v="269 Main St"/>
    <x v="0"/>
    <s v="TRK97319127"/>
    <x v="2"/>
    <n v="3"/>
    <x v="2"/>
    <n v="8156"/>
    <n v="2528.36"/>
    <n v="5627.6399999999994"/>
  </r>
  <r>
    <s v="ORD200878"/>
    <x v="569"/>
    <s v="C73873"/>
    <x v="6"/>
    <n v="1"/>
    <n v="2728"/>
    <n v="0.15"/>
    <s v="393 Main St"/>
    <x v="1"/>
    <s v="TRK56423132"/>
    <x v="1"/>
    <n v="5"/>
    <x v="4"/>
    <n v="2728"/>
    <n v="409.2"/>
    <n v="2318.8000000000002"/>
  </r>
  <r>
    <s v="ORD200879"/>
    <x v="428"/>
    <s v="C56622"/>
    <x v="1"/>
    <n v="1"/>
    <n v="15050"/>
    <n v="0.28000000000000003"/>
    <s v="932 Main St"/>
    <x v="3"/>
    <s v="TRK86373987"/>
    <x v="0"/>
    <n v="3"/>
    <x v="0"/>
    <n v="15050"/>
    <n v="4214"/>
    <n v="10836"/>
  </r>
  <r>
    <s v="ORD200880"/>
    <x v="495"/>
    <s v="C85074"/>
    <x v="5"/>
    <n v="1"/>
    <n v="28615"/>
    <n v="0.11"/>
    <s v="506 Main St"/>
    <x v="1"/>
    <s v="TRK63133878"/>
    <x v="0"/>
    <n v="8"/>
    <x v="3"/>
    <n v="28615"/>
    <n v="3147.65"/>
    <n v="25467.35"/>
  </r>
  <r>
    <s v="ORD200881"/>
    <x v="570"/>
    <s v="C59579"/>
    <x v="2"/>
    <n v="2"/>
    <n v="9519"/>
    <n v="0.47"/>
    <s v="386 Main St"/>
    <x v="2"/>
    <s v="TRK48000034"/>
    <x v="2"/>
    <n v="6"/>
    <x v="0"/>
    <n v="19038"/>
    <n v="8947.8599999999988"/>
    <n v="10090.140000000001"/>
  </r>
  <r>
    <s v="ORD200882"/>
    <x v="164"/>
    <s v="C43335"/>
    <x v="1"/>
    <n v="1"/>
    <n v="49396"/>
    <n v="0.41"/>
    <s v="533 Main St"/>
    <x v="4"/>
    <s v="TRK91848650"/>
    <x v="1"/>
    <n v="6"/>
    <x v="1"/>
    <n v="49396"/>
    <n v="20252.36"/>
    <n v="29143.64"/>
  </r>
  <r>
    <s v="ORD200883"/>
    <x v="557"/>
    <s v="C43595"/>
    <x v="4"/>
    <n v="2"/>
    <n v="6854"/>
    <n v="0.48"/>
    <s v="451 Main St"/>
    <x v="1"/>
    <s v="TRK25317348"/>
    <x v="1"/>
    <n v="9"/>
    <x v="3"/>
    <n v="13708"/>
    <n v="6579.84"/>
    <n v="7128.16"/>
  </r>
  <r>
    <s v="ORD200884"/>
    <x v="571"/>
    <s v="C71471"/>
    <x v="3"/>
    <n v="1"/>
    <n v="26517"/>
    <n v="0.09"/>
    <s v="817 Main St"/>
    <x v="3"/>
    <s v="TRK52137079"/>
    <x v="0"/>
    <n v="4"/>
    <x v="0"/>
    <n v="26517"/>
    <n v="2386.5299999999997"/>
    <n v="24130.47"/>
  </r>
  <r>
    <s v="ORD200885"/>
    <x v="158"/>
    <s v="C61090"/>
    <x v="5"/>
    <n v="2"/>
    <n v="47415"/>
    <n v="0.42"/>
    <s v="387 Main St"/>
    <x v="2"/>
    <s v="TRK36388962"/>
    <x v="0"/>
    <n v="7"/>
    <x v="4"/>
    <n v="94830"/>
    <n v="39828.6"/>
    <n v="55001.4"/>
  </r>
  <r>
    <s v="ORD200886"/>
    <x v="385"/>
    <s v="C29620"/>
    <x v="1"/>
    <n v="3"/>
    <n v="19623"/>
    <n v="0.28000000000000003"/>
    <s v="792 Main St"/>
    <x v="2"/>
    <s v="TRK22046456"/>
    <x v="2"/>
    <n v="1"/>
    <x v="4"/>
    <n v="58869"/>
    <n v="16483.320000000003"/>
    <n v="42385.679999999993"/>
  </r>
  <r>
    <s v="ORD200887"/>
    <x v="36"/>
    <s v="C67932"/>
    <x v="3"/>
    <n v="2"/>
    <n v="30649"/>
    <n v="0.16"/>
    <s v="857 Main St"/>
    <x v="0"/>
    <s v="TRK88547534"/>
    <x v="1"/>
    <n v="7"/>
    <x v="4"/>
    <n v="61298"/>
    <n v="9807.68"/>
    <n v="51490.32"/>
  </r>
  <r>
    <s v="ORD200888"/>
    <x v="572"/>
    <s v="C14427"/>
    <x v="5"/>
    <n v="1"/>
    <n v="35869"/>
    <n v="0.24"/>
    <s v="833 Main St"/>
    <x v="2"/>
    <s v="TRK58024529"/>
    <x v="2"/>
    <n v="3"/>
    <x v="0"/>
    <n v="35869"/>
    <n v="8608.56"/>
    <n v="27260.440000000002"/>
  </r>
  <r>
    <s v="ORD200889"/>
    <x v="245"/>
    <s v="C36725"/>
    <x v="0"/>
    <n v="2"/>
    <n v="1708"/>
    <n v="0.47"/>
    <s v="350 Main St"/>
    <x v="2"/>
    <s v="TRK16808790"/>
    <x v="0"/>
    <n v="8"/>
    <x v="2"/>
    <n v="3416"/>
    <n v="1605.52"/>
    <n v="1810.48"/>
  </r>
  <r>
    <s v="ORD200890"/>
    <x v="178"/>
    <s v="C51921"/>
    <x v="5"/>
    <n v="2"/>
    <n v="29083"/>
    <n v="0.35"/>
    <s v="943 Main St"/>
    <x v="0"/>
    <s v="TRK85741716"/>
    <x v="2"/>
    <n v="5"/>
    <x v="4"/>
    <n v="58166"/>
    <n v="20358.099999999999"/>
    <n v="37807.9"/>
  </r>
  <r>
    <s v="ORD200891"/>
    <x v="433"/>
    <s v="C36534"/>
    <x v="0"/>
    <n v="3"/>
    <n v="6781"/>
    <n v="0.18"/>
    <s v="918 Main St"/>
    <x v="4"/>
    <s v="TRK38952138"/>
    <x v="0"/>
    <n v="7"/>
    <x v="1"/>
    <n v="20343"/>
    <n v="3661.74"/>
    <n v="16681.260000000002"/>
  </r>
  <r>
    <s v="ORD200892"/>
    <x v="573"/>
    <s v="C72043"/>
    <x v="6"/>
    <n v="3"/>
    <n v="1402"/>
    <n v="0.5"/>
    <s v="480 Main St"/>
    <x v="4"/>
    <s v="TRK40896408"/>
    <x v="0"/>
    <n v="2"/>
    <x v="1"/>
    <n v="4206"/>
    <n v="2103"/>
    <n v="2103"/>
  </r>
  <r>
    <s v="ORD200893"/>
    <x v="574"/>
    <s v="C99533"/>
    <x v="0"/>
    <n v="3"/>
    <n v="9525"/>
    <n v="0.17"/>
    <s v="696 Main St"/>
    <x v="4"/>
    <s v="TRK55701253"/>
    <x v="2"/>
    <n v="4"/>
    <x v="1"/>
    <n v="28575"/>
    <n v="4857.75"/>
    <n v="23717.25"/>
  </r>
  <r>
    <s v="ORD200894"/>
    <x v="575"/>
    <s v="C90852"/>
    <x v="2"/>
    <n v="2"/>
    <n v="3385"/>
    <n v="0.41"/>
    <s v="852 Main St"/>
    <x v="1"/>
    <s v="TRK37551831"/>
    <x v="0"/>
    <n v="8"/>
    <x v="0"/>
    <n v="6770"/>
    <n v="2775.7"/>
    <n v="3994.3"/>
  </r>
  <r>
    <s v="ORD200895"/>
    <x v="576"/>
    <s v="C81882"/>
    <x v="3"/>
    <n v="3"/>
    <n v="25252"/>
    <n v="0.39"/>
    <s v="832 Main St"/>
    <x v="0"/>
    <s v="TRK62371264"/>
    <x v="2"/>
    <n v="6"/>
    <x v="3"/>
    <n v="75756"/>
    <n v="29544.84"/>
    <n v="46211.16"/>
  </r>
  <r>
    <s v="ORD200896"/>
    <x v="266"/>
    <s v="C85466"/>
    <x v="6"/>
    <n v="1"/>
    <n v="1851"/>
    <n v="0.36"/>
    <s v="102 Main St"/>
    <x v="3"/>
    <s v="TRK66764177"/>
    <x v="0"/>
    <n v="3"/>
    <x v="4"/>
    <n v="1851"/>
    <n v="666.36"/>
    <n v="1184.6399999999999"/>
  </r>
  <r>
    <s v="ORD200897"/>
    <x v="459"/>
    <s v="C87995"/>
    <x v="5"/>
    <n v="2"/>
    <n v="44485"/>
    <n v="0.33"/>
    <s v="358 Main St"/>
    <x v="3"/>
    <s v="TRK38730545"/>
    <x v="1"/>
    <n v="5"/>
    <x v="0"/>
    <n v="88970"/>
    <n v="29360.100000000002"/>
    <n v="59609.899999999994"/>
  </r>
  <r>
    <s v="ORD200898"/>
    <x v="376"/>
    <s v="C44619"/>
    <x v="0"/>
    <n v="2"/>
    <n v="7564"/>
    <n v="0.05"/>
    <s v="742 Main St"/>
    <x v="4"/>
    <s v="TRK66662528"/>
    <x v="0"/>
    <n v="6"/>
    <x v="1"/>
    <n v="15128"/>
    <n v="756.40000000000009"/>
    <n v="14371.6"/>
  </r>
  <r>
    <s v="ORD200899"/>
    <x v="577"/>
    <s v="C99904"/>
    <x v="4"/>
    <n v="2"/>
    <n v="6248"/>
    <n v="0.5"/>
    <s v="552 Main St"/>
    <x v="1"/>
    <s v="TRK83843411"/>
    <x v="2"/>
    <n v="3"/>
    <x v="0"/>
    <n v="12496"/>
    <n v="6248"/>
    <n v="6248"/>
  </r>
  <r>
    <s v="ORD200900"/>
    <x v="492"/>
    <s v="C52342"/>
    <x v="5"/>
    <n v="3"/>
    <n v="49295"/>
    <n v="0.08"/>
    <s v="991 Main St"/>
    <x v="0"/>
    <s v="TRK67342586"/>
    <x v="2"/>
    <n v="9"/>
    <x v="0"/>
    <n v="147885"/>
    <n v="11830.800000000001"/>
    <n v="136054.20000000001"/>
  </r>
  <r>
    <s v="ORD200901"/>
    <x v="578"/>
    <s v="C44277"/>
    <x v="2"/>
    <n v="2"/>
    <n v="1854"/>
    <n v="0.3"/>
    <s v="839 Main St"/>
    <x v="0"/>
    <s v="TRK79321479"/>
    <x v="1"/>
    <n v="4"/>
    <x v="1"/>
    <n v="3708"/>
    <n v="1112.3999999999999"/>
    <n v="2595.6000000000004"/>
  </r>
  <r>
    <s v="ORD200902"/>
    <x v="579"/>
    <s v="C61162"/>
    <x v="0"/>
    <n v="2"/>
    <n v="3852"/>
    <n v="0.12"/>
    <s v="813 Main St"/>
    <x v="0"/>
    <s v="TRK76712124"/>
    <x v="0"/>
    <n v="7"/>
    <x v="3"/>
    <n v="7704"/>
    <n v="924.48"/>
    <n v="6779.52"/>
  </r>
  <r>
    <s v="ORD200903"/>
    <x v="209"/>
    <s v="C80868"/>
    <x v="0"/>
    <n v="3"/>
    <n v="1447"/>
    <n v="0.08"/>
    <s v="205 Main St"/>
    <x v="2"/>
    <s v="TRK56186636"/>
    <x v="2"/>
    <n v="7"/>
    <x v="2"/>
    <n v="4341"/>
    <n v="347.28000000000003"/>
    <n v="3993.72"/>
  </r>
  <r>
    <s v="ORD200904"/>
    <x v="580"/>
    <s v="C16693"/>
    <x v="0"/>
    <n v="3"/>
    <n v="6061"/>
    <n v="0.28000000000000003"/>
    <s v="262 Main St"/>
    <x v="4"/>
    <s v="TRK41146508"/>
    <x v="2"/>
    <n v="8"/>
    <x v="1"/>
    <n v="18183"/>
    <n v="5091.2400000000007"/>
    <n v="13091.759999999998"/>
  </r>
  <r>
    <s v="ORD200905"/>
    <x v="581"/>
    <s v="C67818"/>
    <x v="5"/>
    <n v="2"/>
    <n v="21040"/>
    <n v="0.42"/>
    <s v="101 Main St"/>
    <x v="3"/>
    <s v="TRK81978113"/>
    <x v="2"/>
    <n v="6"/>
    <x v="3"/>
    <n v="42080"/>
    <n v="17673.599999999999"/>
    <n v="24406.400000000001"/>
  </r>
  <r>
    <s v="ORD200906"/>
    <x v="459"/>
    <s v="C49938"/>
    <x v="0"/>
    <n v="1"/>
    <n v="6340"/>
    <n v="0.19"/>
    <s v="141 Main St"/>
    <x v="4"/>
    <s v="TRK80175572"/>
    <x v="0"/>
    <n v="2"/>
    <x v="2"/>
    <n v="6340"/>
    <n v="1204.5999999999999"/>
    <n v="5135.3999999999996"/>
  </r>
  <r>
    <s v="ORD200907"/>
    <x v="548"/>
    <s v="C90898"/>
    <x v="6"/>
    <n v="2"/>
    <n v="8889"/>
    <n v="0.04"/>
    <s v="583 Main St"/>
    <x v="3"/>
    <s v="TRK52935170"/>
    <x v="1"/>
    <n v="7"/>
    <x v="1"/>
    <n v="17778"/>
    <n v="711.12"/>
    <n v="17066.88"/>
  </r>
  <r>
    <s v="ORD200908"/>
    <x v="138"/>
    <s v="C35117"/>
    <x v="6"/>
    <n v="1"/>
    <n v="7379"/>
    <n v="0.31"/>
    <s v="332 Main St"/>
    <x v="2"/>
    <s v="TRK27155709"/>
    <x v="1"/>
    <n v="2"/>
    <x v="4"/>
    <n v="7379"/>
    <n v="2287.4899999999998"/>
    <n v="5091.51"/>
  </r>
  <r>
    <s v="ORD200909"/>
    <x v="582"/>
    <s v="C60203"/>
    <x v="2"/>
    <n v="1"/>
    <n v="2256"/>
    <n v="0.38"/>
    <s v="569 Main St"/>
    <x v="4"/>
    <s v="TRK76525279"/>
    <x v="0"/>
    <n v="5"/>
    <x v="0"/>
    <n v="2256"/>
    <n v="857.28"/>
    <n v="1398.72"/>
  </r>
  <r>
    <s v="ORD200910"/>
    <x v="583"/>
    <s v="C36174"/>
    <x v="4"/>
    <n v="1"/>
    <n v="9319"/>
    <n v="0.15"/>
    <s v="348 Main St"/>
    <x v="4"/>
    <s v="TRK26397548"/>
    <x v="1"/>
    <n v="3"/>
    <x v="0"/>
    <n v="9319"/>
    <n v="1397.85"/>
    <n v="7921.15"/>
  </r>
  <r>
    <s v="ORD200911"/>
    <x v="584"/>
    <s v="C80872"/>
    <x v="6"/>
    <n v="2"/>
    <n v="1376"/>
    <n v="0.35"/>
    <s v="593 Main St"/>
    <x v="4"/>
    <s v="TRK43967487"/>
    <x v="1"/>
    <n v="9"/>
    <x v="0"/>
    <n v="2752"/>
    <n v="963.19999999999993"/>
    <n v="1788.8000000000002"/>
  </r>
  <r>
    <s v="ORD200912"/>
    <x v="585"/>
    <s v="C67604"/>
    <x v="6"/>
    <n v="2"/>
    <n v="7135"/>
    <n v="0.04"/>
    <s v="318 Main St"/>
    <x v="1"/>
    <s v="TRK85545920"/>
    <x v="1"/>
    <n v="7"/>
    <x v="2"/>
    <n v="14270"/>
    <n v="570.80000000000007"/>
    <n v="13699.2"/>
  </r>
  <r>
    <s v="ORD200913"/>
    <x v="223"/>
    <s v="C45599"/>
    <x v="4"/>
    <n v="1"/>
    <n v="6043"/>
    <n v="0.18"/>
    <s v="505 Main St"/>
    <x v="2"/>
    <s v="TRK62277685"/>
    <x v="1"/>
    <n v="8"/>
    <x v="3"/>
    <n v="6043"/>
    <n v="1087.74"/>
    <n v="4955.26"/>
  </r>
  <r>
    <s v="ORD200914"/>
    <x v="441"/>
    <s v="C70352"/>
    <x v="6"/>
    <n v="1"/>
    <n v="9451"/>
    <n v="0.24"/>
    <s v="955 Main St"/>
    <x v="3"/>
    <s v="TRK51589589"/>
    <x v="0"/>
    <n v="4"/>
    <x v="3"/>
    <n v="9451"/>
    <n v="2268.2399999999998"/>
    <n v="7182.76"/>
  </r>
  <r>
    <s v="ORD200915"/>
    <x v="586"/>
    <s v="C20643"/>
    <x v="5"/>
    <n v="1"/>
    <n v="26065"/>
    <n v="0.39"/>
    <s v="939 Main St"/>
    <x v="0"/>
    <s v="TRK30736692"/>
    <x v="0"/>
    <n v="4"/>
    <x v="1"/>
    <n v="26065"/>
    <n v="10165.35"/>
    <n v="15899.65"/>
  </r>
  <r>
    <s v="ORD200916"/>
    <x v="587"/>
    <s v="C35669"/>
    <x v="4"/>
    <n v="1"/>
    <n v="6088"/>
    <n v="0.17"/>
    <s v="165 Main St"/>
    <x v="4"/>
    <s v="TRK13928455"/>
    <x v="2"/>
    <n v="6"/>
    <x v="1"/>
    <n v="6088"/>
    <n v="1034.96"/>
    <n v="5053.04"/>
  </r>
  <r>
    <s v="ORD200917"/>
    <x v="588"/>
    <s v="C65524"/>
    <x v="5"/>
    <n v="3"/>
    <n v="43118"/>
    <n v="0.23"/>
    <s v="836 Main St"/>
    <x v="2"/>
    <s v="TRK19315310"/>
    <x v="1"/>
    <n v="7"/>
    <x v="4"/>
    <n v="129354"/>
    <n v="29751.420000000002"/>
    <n v="99602.58"/>
  </r>
  <r>
    <s v="ORD200918"/>
    <x v="53"/>
    <s v="C74359"/>
    <x v="5"/>
    <n v="3"/>
    <n v="34786"/>
    <n v="0.31"/>
    <s v="706 Main St"/>
    <x v="1"/>
    <s v="TRK18250450"/>
    <x v="1"/>
    <n v="5"/>
    <x v="0"/>
    <n v="104358"/>
    <n v="32350.98"/>
    <n v="72007.02"/>
  </r>
  <r>
    <s v="ORD200919"/>
    <x v="492"/>
    <s v="C92086"/>
    <x v="4"/>
    <n v="1"/>
    <n v="9152"/>
    <n v="0.31"/>
    <s v="187 Main St"/>
    <x v="1"/>
    <s v="TRK23357668"/>
    <x v="0"/>
    <n v="3"/>
    <x v="1"/>
    <n v="9152"/>
    <n v="2837.12"/>
    <n v="6314.88"/>
  </r>
  <r>
    <s v="ORD200920"/>
    <x v="495"/>
    <s v="C26137"/>
    <x v="2"/>
    <n v="2"/>
    <n v="1137"/>
    <n v="0.26"/>
    <s v="978 Main St"/>
    <x v="2"/>
    <s v="TRK98110407"/>
    <x v="0"/>
    <n v="6"/>
    <x v="0"/>
    <n v="2274"/>
    <n v="591.24"/>
    <n v="1682.76"/>
  </r>
  <r>
    <s v="ORD200921"/>
    <x v="528"/>
    <s v="C90573"/>
    <x v="2"/>
    <n v="1"/>
    <n v="14965"/>
    <n v="0.16"/>
    <s v="144 Main St"/>
    <x v="3"/>
    <s v="TRK90075720"/>
    <x v="1"/>
    <n v="3"/>
    <x v="1"/>
    <n v="14965"/>
    <n v="2394.4"/>
    <n v="12570.6"/>
  </r>
  <r>
    <s v="ORD200922"/>
    <x v="589"/>
    <s v="C81857"/>
    <x v="6"/>
    <n v="3"/>
    <n v="7613"/>
    <n v="0.33"/>
    <s v="487 Main St"/>
    <x v="2"/>
    <s v="TRK79737732"/>
    <x v="2"/>
    <n v="3"/>
    <x v="0"/>
    <n v="22839"/>
    <n v="7536.8700000000008"/>
    <n v="15302.13"/>
  </r>
  <r>
    <s v="ORD200923"/>
    <x v="91"/>
    <s v="C91582"/>
    <x v="4"/>
    <n v="3"/>
    <n v="9248"/>
    <n v="0.42"/>
    <s v="836 Main St"/>
    <x v="2"/>
    <s v="TRK99938245"/>
    <x v="2"/>
    <n v="7"/>
    <x v="3"/>
    <n v="27744"/>
    <n v="11652.48"/>
    <n v="16091.52"/>
  </r>
  <r>
    <s v="ORD200924"/>
    <x v="29"/>
    <s v="C81319"/>
    <x v="4"/>
    <n v="2"/>
    <n v="7644"/>
    <n v="0.08"/>
    <s v="991 Main St"/>
    <x v="4"/>
    <s v="TRK55330558"/>
    <x v="0"/>
    <n v="5"/>
    <x v="2"/>
    <n v="15288"/>
    <n v="1223.04"/>
    <n v="14064.96"/>
  </r>
  <r>
    <s v="ORD200925"/>
    <x v="590"/>
    <s v="C78500"/>
    <x v="0"/>
    <n v="1"/>
    <n v="4226"/>
    <n v="0.17"/>
    <s v="304 Main St"/>
    <x v="1"/>
    <s v="TRK97460884"/>
    <x v="0"/>
    <n v="10"/>
    <x v="2"/>
    <n v="4226"/>
    <n v="718.42000000000007"/>
    <n v="3507.58"/>
  </r>
  <r>
    <s v="ORD200926"/>
    <x v="591"/>
    <s v="C67533"/>
    <x v="6"/>
    <n v="2"/>
    <n v="6142"/>
    <n v="0.33"/>
    <s v="672 Main St"/>
    <x v="4"/>
    <s v="TRK14566395"/>
    <x v="1"/>
    <n v="1"/>
    <x v="2"/>
    <n v="12284"/>
    <n v="4053.7200000000003"/>
    <n v="8230.2799999999988"/>
  </r>
  <r>
    <s v="ORD200927"/>
    <x v="592"/>
    <s v="C35566"/>
    <x v="5"/>
    <n v="2"/>
    <n v="40378"/>
    <n v="0.38"/>
    <s v="638 Main St"/>
    <x v="0"/>
    <s v="TRK10003020"/>
    <x v="0"/>
    <n v="7"/>
    <x v="4"/>
    <n v="80756"/>
    <n v="30687.279999999999"/>
    <n v="50068.72"/>
  </r>
  <r>
    <s v="ORD200928"/>
    <x v="593"/>
    <s v="C77166"/>
    <x v="5"/>
    <n v="3"/>
    <n v="74800"/>
    <n v="0.39"/>
    <s v="821 Main St"/>
    <x v="0"/>
    <s v="TRK18896595"/>
    <x v="2"/>
    <n v="3"/>
    <x v="1"/>
    <n v="224400"/>
    <n v="87516"/>
    <n v="136884"/>
  </r>
  <r>
    <s v="ORD200929"/>
    <x v="594"/>
    <s v="C67936"/>
    <x v="2"/>
    <n v="3"/>
    <n v="16489"/>
    <n v="0.33"/>
    <s v="553 Main St"/>
    <x v="0"/>
    <s v="TRK71803414"/>
    <x v="2"/>
    <n v="3"/>
    <x v="2"/>
    <n v="49467"/>
    <n v="16324.11"/>
    <n v="33142.89"/>
  </r>
  <r>
    <s v="ORD200930"/>
    <x v="393"/>
    <s v="C59554"/>
    <x v="1"/>
    <n v="2"/>
    <n v="33598"/>
    <n v="0.24"/>
    <s v="382 Main St"/>
    <x v="0"/>
    <s v="TRK28182447"/>
    <x v="0"/>
    <n v="4"/>
    <x v="2"/>
    <n v="67196"/>
    <n v="16127.039999999999"/>
    <n v="51068.959999999999"/>
  </r>
  <r>
    <s v="ORD200931"/>
    <x v="543"/>
    <s v="C14005"/>
    <x v="4"/>
    <n v="2"/>
    <n v="6614"/>
    <n v="0.32"/>
    <s v="623 Main St"/>
    <x v="2"/>
    <s v="TRK87567926"/>
    <x v="1"/>
    <n v="4"/>
    <x v="4"/>
    <n v="13228"/>
    <n v="4232.96"/>
    <n v="8995.0400000000009"/>
  </r>
  <r>
    <s v="ORD200932"/>
    <x v="465"/>
    <s v="C26118"/>
    <x v="5"/>
    <n v="2"/>
    <n v="40886"/>
    <n v="7.0000000000000007E-2"/>
    <s v="168 Main St"/>
    <x v="1"/>
    <s v="TRK15334251"/>
    <x v="1"/>
    <n v="7"/>
    <x v="0"/>
    <n v="81772"/>
    <n v="5724.0400000000009"/>
    <n v="76047.959999999992"/>
  </r>
  <r>
    <s v="ORD200933"/>
    <x v="595"/>
    <s v="C59685"/>
    <x v="0"/>
    <n v="2"/>
    <n v="6062"/>
    <n v="0.1"/>
    <s v="255 Main St"/>
    <x v="1"/>
    <s v="TRK43718093"/>
    <x v="0"/>
    <n v="2"/>
    <x v="1"/>
    <n v="12124"/>
    <n v="1212.4000000000001"/>
    <n v="10911.6"/>
  </r>
  <r>
    <s v="ORD200934"/>
    <x v="565"/>
    <s v="C40304"/>
    <x v="5"/>
    <n v="2"/>
    <n v="70604"/>
    <n v="0.46"/>
    <s v="692 Main St"/>
    <x v="3"/>
    <s v="TRK85790948"/>
    <x v="0"/>
    <n v="8"/>
    <x v="1"/>
    <n v="141208"/>
    <n v="64955.68"/>
    <n v="76252.320000000007"/>
  </r>
  <r>
    <s v="ORD200935"/>
    <x v="254"/>
    <s v="C39593"/>
    <x v="1"/>
    <n v="3"/>
    <n v="38100"/>
    <n v="0.46"/>
    <s v="398 Main St"/>
    <x v="2"/>
    <s v="TRK62405253"/>
    <x v="1"/>
    <n v="3"/>
    <x v="0"/>
    <n v="114300"/>
    <n v="52578"/>
    <n v="61722"/>
  </r>
  <r>
    <s v="ORD200936"/>
    <x v="596"/>
    <s v="C50612"/>
    <x v="3"/>
    <n v="2"/>
    <n v="36002"/>
    <n v="0.36"/>
    <s v="737 Main St"/>
    <x v="1"/>
    <s v="TRK44140968"/>
    <x v="1"/>
    <n v="4"/>
    <x v="0"/>
    <n v="72004"/>
    <n v="25921.439999999999"/>
    <n v="46082.559999999998"/>
  </r>
  <r>
    <s v="ORD200937"/>
    <x v="462"/>
    <s v="C39791"/>
    <x v="3"/>
    <n v="2"/>
    <n v="34878"/>
    <n v="0.16"/>
    <s v="536 Main St"/>
    <x v="0"/>
    <s v="TRK46221436"/>
    <x v="1"/>
    <n v="5"/>
    <x v="2"/>
    <n v="69756"/>
    <n v="11160.960000000001"/>
    <n v="58595.040000000001"/>
  </r>
  <r>
    <s v="ORD200938"/>
    <x v="219"/>
    <s v="C39017"/>
    <x v="3"/>
    <n v="1"/>
    <n v="30434"/>
    <n v="0.32"/>
    <s v="696 Main St"/>
    <x v="2"/>
    <s v="TRK91155214"/>
    <x v="2"/>
    <n v="6"/>
    <x v="1"/>
    <n v="30434"/>
    <n v="9738.880000000001"/>
    <n v="20695.12"/>
  </r>
  <r>
    <s v="ORD200939"/>
    <x v="597"/>
    <s v="C48510"/>
    <x v="5"/>
    <n v="3"/>
    <n v="64525"/>
    <n v="0.34"/>
    <s v="212 Main St"/>
    <x v="4"/>
    <s v="TRK53152886"/>
    <x v="1"/>
    <n v="7"/>
    <x v="0"/>
    <n v="193575"/>
    <n v="65815.5"/>
    <n v="127759.5"/>
  </r>
  <r>
    <s v="ORD200940"/>
    <x v="14"/>
    <s v="C74003"/>
    <x v="4"/>
    <n v="1"/>
    <n v="6731"/>
    <n v="0.26"/>
    <s v="679 Main St"/>
    <x v="1"/>
    <s v="TRK91525779"/>
    <x v="1"/>
    <n v="4"/>
    <x v="4"/>
    <n v="6731"/>
    <n v="1750.0600000000002"/>
    <n v="4980.9399999999996"/>
  </r>
  <r>
    <s v="ORD200941"/>
    <x v="15"/>
    <s v="C91155"/>
    <x v="4"/>
    <n v="3"/>
    <n v="8347"/>
    <n v="0.37"/>
    <s v="599 Main St"/>
    <x v="2"/>
    <s v="TRK82162952"/>
    <x v="1"/>
    <n v="9"/>
    <x v="2"/>
    <n v="25041"/>
    <n v="9265.17"/>
    <n v="15775.83"/>
  </r>
  <r>
    <s v="ORD200942"/>
    <x v="372"/>
    <s v="C17591"/>
    <x v="2"/>
    <n v="3"/>
    <n v="4817"/>
    <n v="0.01"/>
    <s v="882 Main St"/>
    <x v="2"/>
    <s v="TRK56070470"/>
    <x v="2"/>
    <n v="1"/>
    <x v="2"/>
    <n v="14451"/>
    <n v="144.51"/>
    <n v="14306.49"/>
  </r>
  <r>
    <s v="ORD200943"/>
    <x v="140"/>
    <s v="C43330"/>
    <x v="0"/>
    <n v="1"/>
    <n v="6591"/>
    <n v="0.13"/>
    <s v="355 Main St"/>
    <x v="3"/>
    <s v="TRK71594838"/>
    <x v="0"/>
    <n v="6"/>
    <x v="3"/>
    <n v="6591"/>
    <n v="856.83"/>
    <n v="5734.17"/>
  </r>
  <r>
    <s v="ORD200944"/>
    <x v="393"/>
    <s v="C32687"/>
    <x v="5"/>
    <n v="3"/>
    <n v="60401"/>
    <n v="0.4"/>
    <s v="448 Main St"/>
    <x v="1"/>
    <s v="TRK98284560"/>
    <x v="1"/>
    <n v="7"/>
    <x v="4"/>
    <n v="181203"/>
    <n v="72481.2"/>
    <n v="108721.8"/>
  </r>
  <r>
    <s v="ORD200945"/>
    <x v="38"/>
    <s v="C79722"/>
    <x v="2"/>
    <n v="2"/>
    <n v="18715"/>
    <n v="0.47"/>
    <s v="619 Main St"/>
    <x v="3"/>
    <s v="TRK29976438"/>
    <x v="0"/>
    <n v="10"/>
    <x v="1"/>
    <n v="37430"/>
    <n v="17592.099999999999"/>
    <n v="19837.900000000001"/>
  </r>
  <r>
    <s v="ORD200946"/>
    <x v="598"/>
    <s v="C65021"/>
    <x v="1"/>
    <n v="3"/>
    <n v="44642"/>
    <n v="0.44"/>
    <s v="546 Main St"/>
    <x v="4"/>
    <s v="TRK20626179"/>
    <x v="0"/>
    <n v="4"/>
    <x v="2"/>
    <n v="133926"/>
    <n v="58927.44"/>
    <n v="74998.559999999998"/>
  </r>
  <r>
    <s v="ORD200947"/>
    <x v="599"/>
    <s v="C85520"/>
    <x v="1"/>
    <n v="2"/>
    <n v="41788"/>
    <n v="0.36"/>
    <s v="119 Main St"/>
    <x v="1"/>
    <s v="TRK65994177"/>
    <x v="2"/>
    <n v="9"/>
    <x v="2"/>
    <n v="83576"/>
    <n v="30087.360000000001"/>
    <n v="53488.639999999999"/>
  </r>
  <r>
    <s v="ORD200948"/>
    <x v="587"/>
    <s v="C94569"/>
    <x v="1"/>
    <n v="2"/>
    <n v="28608"/>
    <n v="0.08"/>
    <s v="739 Main St"/>
    <x v="3"/>
    <s v="TRK79269291"/>
    <x v="2"/>
    <n v="2"/>
    <x v="4"/>
    <n v="57216"/>
    <n v="4577.28"/>
    <n v="52638.720000000001"/>
  </r>
  <r>
    <s v="ORD200949"/>
    <x v="576"/>
    <s v="C55778"/>
    <x v="6"/>
    <n v="1"/>
    <n v="8787"/>
    <n v="0.18"/>
    <s v="319 Main St"/>
    <x v="4"/>
    <s v="TRK93797108"/>
    <x v="2"/>
    <n v="10"/>
    <x v="1"/>
    <n v="8787"/>
    <n v="1581.6599999999999"/>
    <n v="7205.34"/>
  </r>
  <r>
    <s v="ORD200950"/>
    <x v="583"/>
    <s v="C19722"/>
    <x v="5"/>
    <n v="3"/>
    <n v="31347"/>
    <n v="0.03"/>
    <s v="891 Main St"/>
    <x v="2"/>
    <s v="TRK78094361"/>
    <x v="1"/>
    <n v="4"/>
    <x v="0"/>
    <n v="94041"/>
    <n v="2821.23"/>
    <n v="91219.77"/>
  </r>
  <r>
    <s v="ORD200951"/>
    <x v="319"/>
    <s v="C74928"/>
    <x v="4"/>
    <n v="1"/>
    <n v="8249"/>
    <n v="0.32"/>
    <s v="589 Main St"/>
    <x v="1"/>
    <s v="TRK39845914"/>
    <x v="2"/>
    <n v="4"/>
    <x v="2"/>
    <n v="8249"/>
    <n v="2639.68"/>
    <n v="5609.32"/>
  </r>
  <r>
    <s v="ORD200952"/>
    <x v="37"/>
    <s v="C49111"/>
    <x v="0"/>
    <n v="2"/>
    <n v="9874"/>
    <n v="0.22"/>
    <s v="225 Main St"/>
    <x v="1"/>
    <s v="TRK45303393"/>
    <x v="2"/>
    <n v="5"/>
    <x v="3"/>
    <n v="19748"/>
    <n v="4344.5600000000004"/>
    <n v="15403.439999999999"/>
  </r>
  <r>
    <s v="ORD200953"/>
    <x v="600"/>
    <s v="C43721"/>
    <x v="1"/>
    <n v="1"/>
    <n v="39973"/>
    <n v="0.28999999999999998"/>
    <s v="971 Main St"/>
    <x v="4"/>
    <s v="TRK89392104"/>
    <x v="0"/>
    <n v="2"/>
    <x v="3"/>
    <n v="39973"/>
    <n v="11592.17"/>
    <n v="28380.83"/>
  </r>
  <r>
    <s v="ORD200954"/>
    <x v="601"/>
    <s v="C68609"/>
    <x v="3"/>
    <n v="2"/>
    <n v="15526"/>
    <n v="0.49"/>
    <s v="240 Main St"/>
    <x v="3"/>
    <s v="TRK58273778"/>
    <x v="0"/>
    <n v="3"/>
    <x v="4"/>
    <n v="31052"/>
    <n v="15215.48"/>
    <n v="15836.52"/>
  </r>
  <r>
    <s v="ORD200955"/>
    <x v="19"/>
    <s v="C82068"/>
    <x v="3"/>
    <n v="2"/>
    <n v="29593"/>
    <n v="0.2"/>
    <s v="164 Main St"/>
    <x v="3"/>
    <s v="TRK25779180"/>
    <x v="0"/>
    <n v="3"/>
    <x v="0"/>
    <n v="59186"/>
    <n v="11837.2"/>
    <n v="47348.800000000003"/>
  </r>
  <r>
    <s v="ORD200956"/>
    <x v="166"/>
    <s v="C21191"/>
    <x v="1"/>
    <n v="1"/>
    <n v="43019"/>
    <n v="0.15"/>
    <s v="381 Main St"/>
    <x v="0"/>
    <s v="TRK86246309"/>
    <x v="1"/>
    <n v="3"/>
    <x v="1"/>
    <n v="43019"/>
    <n v="6452.8499999999995"/>
    <n v="36566.15"/>
  </r>
  <r>
    <s v="ORD200957"/>
    <x v="602"/>
    <s v="C73575"/>
    <x v="0"/>
    <n v="2"/>
    <n v="9919"/>
    <n v="0.08"/>
    <s v="851 Main St"/>
    <x v="4"/>
    <s v="TRK23387612"/>
    <x v="0"/>
    <n v="8"/>
    <x v="3"/>
    <n v="19838"/>
    <n v="1587.04"/>
    <n v="18250.96"/>
  </r>
  <r>
    <s v="ORD200958"/>
    <x v="603"/>
    <s v="C82685"/>
    <x v="6"/>
    <n v="1"/>
    <n v="5142"/>
    <n v="7.0000000000000007E-2"/>
    <s v="537 Main St"/>
    <x v="3"/>
    <s v="TRK70184320"/>
    <x v="1"/>
    <n v="7"/>
    <x v="2"/>
    <n v="5142"/>
    <n v="359.94000000000005"/>
    <n v="4782.0599999999995"/>
  </r>
  <r>
    <s v="ORD200959"/>
    <x v="604"/>
    <s v="C73996"/>
    <x v="2"/>
    <n v="3"/>
    <n v="14919"/>
    <n v="0.26"/>
    <s v="856 Main St"/>
    <x v="2"/>
    <s v="TRK74579570"/>
    <x v="0"/>
    <n v="6"/>
    <x v="0"/>
    <n v="44757"/>
    <n v="11636.82"/>
    <n v="33120.18"/>
  </r>
  <r>
    <s v="ORD200960"/>
    <x v="66"/>
    <s v="C87687"/>
    <x v="5"/>
    <n v="1"/>
    <n v="42879"/>
    <n v="0.37"/>
    <s v="312 Main St"/>
    <x v="3"/>
    <s v="TRK60383805"/>
    <x v="2"/>
    <n v="3"/>
    <x v="4"/>
    <n v="42879"/>
    <n v="15865.23"/>
    <n v="27013.77"/>
  </r>
  <r>
    <s v="ORD200961"/>
    <x v="435"/>
    <s v="C55464"/>
    <x v="1"/>
    <n v="1"/>
    <n v="20055"/>
    <n v="0.28000000000000003"/>
    <s v="532 Main St"/>
    <x v="1"/>
    <s v="TRK81178598"/>
    <x v="0"/>
    <n v="1"/>
    <x v="3"/>
    <n v="20055"/>
    <n v="5615.4000000000005"/>
    <n v="14439.599999999999"/>
  </r>
  <r>
    <s v="ORD200962"/>
    <x v="605"/>
    <s v="C12459"/>
    <x v="1"/>
    <n v="1"/>
    <n v="22036"/>
    <n v="0.44"/>
    <s v="838 Main St"/>
    <x v="3"/>
    <s v="TRK30674085"/>
    <x v="1"/>
    <n v="4"/>
    <x v="1"/>
    <n v="22036"/>
    <n v="9695.84"/>
    <n v="12340.16"/>
  </r>
  <r>
    <s v="ORD200963"/>
    <x v="606"/>
    <s v="C88075"/>
    <x v="3"/>
    <n v="3"/>
    <n v="49523"/>
    <n v="0.16"/>
    <s v="970 Main St"/>
    <x v="1"/>
    <s v="TRK42832976"/>
    <x v="0"/>
    <n v="9"/>
    <x v="4"/>
    <n v="148569"/>
    <n v="23771.040000000001"/>
    <n v="124797.95999999999"/>
  </r>
  <r>
    <s v="ORD200964"/>
    <x v="38"/>
    <s v="C18583"/>
    <x v="1"/>
    <n v="1"/>
    <n v="37582"/>
    <n v="0.3"/>
    <s v="778 Main St"/>
    <x v="2"/>
    <s v="TRK43084595"/>
    <x v="1"/>
    <n v="10"/>
    <x v="1"/>
    <n v="37582"/>
    <n v="11274.6"/>
    <n v="26307.4"/>
  </r>
  <r>
    <s v="ORD200965"/>
    <x v="607"/>
    <s v="C70412"/>
    <x v="5"/>
    <n v="1"/>
    <n v="69572"/>
    <n v="0.33"/>
    <s v="791 Main St"/>
    <x v="3"/>
    <s v="TRK22192783"/>
    <x v="0"/>
    <n v="5"/>
    <x v="2"/>
    <n v="69572"/>
    <n v="22958.760000000002"/>
    <n v="46613.24"/>
  </r>
  <r>
    <s v="ORD200966"/>
    <x v="608"/>
    <s v="C58503"/>
    <x v="0"/>
    <n v="3"/>
    <n v="5762"/>
    <n v="0.14000000000000001"/>
    <s v="290 Main St"/>
    <x v="2"/>
    <s v="TRK12981657"/>
    <x v="1"/>
    <n v="7"/>
    <x v="3"/>
    <n v="17286"/>
    <n v="2420.0400000000004"/>
    <n v="14865.96"/>
  </r>
  <r>
    <s v="ORD200967"/>
    <x v="138"/>
    <s v="C52879"/>
    <x v="2"/>
    <n v="2"/>
    <n v="15931"/>
    <n v="0.2"/>
    <s v="502 Main St"/>
    <x v="2"/>
    <s v="TRK67403284"/>
    <x v="2"/>
    <n v="5"/>
    <x v="4"/>
    <n v="31862"/>
    <n v="6372.4000000000005"/>
    <n v="25489.599999999999"/>
  </r>
  <r>
    <s v="ORD200968"/>
    <x v="458"/>
    <s v="C67870"/>
    <x v="0"/>
    <n v="1"/>
    <n v="6733"/>
    <n v="0.3"/>
    <s v="664 Main St"/>
    <x v="2"/>
    <s v="TRK72602178"/>
    <x v="0"/>
    <n v="6"/>
    <x v="1"/>
    <n v="6733"/>
    <n v="2019.8999999999999"/>
    <n v="4713.1000000000004"/>
  </r>
  <r>
    <s v="ORD200969"/>
    <x v="85"/>
    <s v="C19439"/>
    <x v="6"/>
    <n v="2"/>
    <n v="7362"/>
    <n v="0.01"/>
    <s v="675 Main St"/>
    <x v="3"/>
    <s v="TRK25383993"/>
    <x v="0"/>
    <n v="2"/>
    <x v="3"/>
    <n v="14724"/>
    <n v="147.24"/>
    <n v="14576.76"/>
  </r>
  <r>
    <s v="ORD200970"/>
    <x v="609"/>
    <s v="C72664"/>
    <x v="6"/>
    <n v="1"/>
    <n v="3529"/>
    <n v="0.44"/>
    <s v="241 Main St"/>
    <x v="4"/>
    <s v="TRK86694331"/>
    <x v="1"/>
    <n v="5"/>
    <x v="0"/>
    <n v="3529"/>
    <n v="1552.76"/>
    <n v="1976.24"/>
  </r>
  <r>
    <s v="ORD200971"/>
    <x v="582"/>
    <s v="C32650"/>
    <x v="0"/>
    <n v="3"/>
    <n v="8371"/>
    <n v="0.06"/>
    <s v="934 Main St"/>
    <x v="4"/>
    <s v="TRK66648743"/>
    <x v="2"/>
    <n v="4"/>
    <x v="1"/>
    <n v="25113"/>
    <n v="1506.78"/>
    <n v="23606.22"/>
  </r>
  <r>
    <s v="ORD200972"/>
    <x v="410"/>
    <s v="C66438"/>
    <x v="5"/>
    <n v="3"/>
    <n v="46381"/>
    <n v="0.02"/>
    <s v="816 Main St"/>
    <x v="4"/>
    <s v="TRK32035271"/>
    <x v="1"/>
    <n v="5"/>
    <x v="3"/>
    <n v="139143"/>
    <n v="2782.86"/>
    <n v="136360.14000000001"/>
  </r>
  <r>
    <s v="ORD200973"/>
    <x v="559"/>
    <s v="C70010"/>
    <x v="6"/>
    <n v="2"/>
    <n v="7034"/>
    <n v="0.11"/>
    <s v="141 Main St"/>
    <x v="1"/>
    <s v="TRK50594008"/>
    <x v="2"/>
    <n v="10"/>
    <x v="1"/>
    <n v="14068"/>
    <n v="1547.48"/>
    <n v="12520.52"/>
  </r>
  <r>
    <s v="ORD200974"/>
    <x v="610"/>
    <s v="C30722"/>
    <x v="6"/>
    <n v="1"/>
    <n v="5041"/>
    <n v="0.25"/>
    <s v="274 Main St"/>
    <x v="3"/>
    <s v="TRK52088168"/>
    <x v="2"/>
    <n v="5"/>
    <x v="2"/>
    <n v="5041"/>
    <n v="1260.25"/>
    <n v="3780.75"/>
  </r>
  <r>
    <s v="ORD200975"/>
    <x v="419"/>
    <s v="C70529"/>
    <x v="6"/>
    <n v="2"/>
    <n v="1190"/>
    <n v="0.16"/>
    <s v="974 Main St"/>
    <x v="3"/>
    <s v="TRK82165408"/>
    <x v="2"/>
    <n v="6"/>
    <x v="2"/>
    <n v="2380"/>
    <n v="380.8"/>
    <n v="1999.2"/>
  </r>
  <r>
    <s v="ORD200976"/>
    <x v="172"/>
    <s v="C18984"/>
    <x v="2"/>
    <n v="1"/>
    <n v="18791"/>
    <n v="0.22"/>
    <s v="650 Main St"/>
    <x v="2"/>
    <s v="TRK49298239"/>
    <x v="0"/>
    <n v="6"/>
    <x v="1"/>
    <n v="18791"/>
    <n v="4134.0200000000004"/>
    <n v="14656.98"/>
  </r>
  <r>
    <s v="ORD200977"/>
    <x v="423"/>
    <s v="C85841"/>
    <x v="3"/>
    <n v="2"/>
    <n v="41450"/>
    <n v="0.04"/>
    <s v="608 Main St"/>
    <x v="4"/>
    <s v="TRK99820544"/>
    <x v="2"/>
    <n v="8"/>
    <x v="4"/>
    <n v="82900"/>
    <n v="3316"/>
    <n v="79584"/>
  </r>
  <r>
    <s v="ORD200978"/>
    <x v="611"/>
    <s v="C41508"/>
    <x v="4"/>
    <n v="2"/>
    <n v="5133"/>
    <n v="0.12"/>
    <s v="993 Main St"/>
    <x v="4"/>
    <s v="TRK61047536"/>
    <x v="1"/>
    <n v="5"/>
    <x v="4"/>
    <n v="10266"/>
    <n v="1231.9199999999998"/>
    <n v="9034.08"/>
  </r>
  <r>
    <s v="ORD200979"/>
    <x v="546"/>
    <s v="C75018"/>
    <x v="0"/>
    <n v="2"/>
    <n v="6631"/>
    <n v="0.05"/>
    <s v="299 Main St"/>
    <x v="4"/>
    <s v="TRK51794806"/>
    <x v="1"/>
    <n v="7"/>
    <x v="3"/>
    <n v="13262"/>
    <n v="663.1"/>
    <n v="12598.9"/>
  </r>
  <r>
    <s v="ORD200980"/>
    <x v="612"/>
    <s v="C84320"/>
    <x v="3"/>
    <n v="1"/>
    <n v="21176"/>
    <n v="0.11"/>
    <s v="107 Main St"/>
    <x v="4"/>
    <s v="TRK81093218"/>
    <x v="1"/>
    <n v="7"/>
    <x v="0"/>
    <n v="21176"/>
    <n v="2329.36"/>
    <n v="18846.64"/>
  </r>
  <r>
    <s v="ORD200981"/>
    <x v="371"/>
    <s v="C12609"/>
    <x v="1"/>
    <n v="1"/>
    <n v="27620"/>
    <n v="0.35"/>
    <s v="490 Main St"/>
    <x v="0"/>
    <s v="TRK56379337"/>
    <x v="2"/>
    <n v="8"/>
    <x v="2"/>
    <n v="27620"/>
    <n v="9667"/>
    <n v="17953"/>
  </r>
  <r>
    <s v="ORD200982"/>
    <x v="605"/>
    <s v="C64935"/>
    <x v="0"/>
    <n v="3"/>
    <n v="5107"/>
    <n v="0.28999999999999998"/>
    <s v="707 Main St"/>
    <x v="3"/>
    <s v="TRK42969065"/>
    <x v="0"/>
    <n v="2"/>
    <x v="1"/>
    <n v="15321"/>
    <n v="4443.09"/>
    <n v="10877.91"/>
  </r>
  <r>
    <s v="ORD200983"/>
    <x v="167"/>
    <s v="C67528"/>
    <x v="0"/>
    <n v="1"/>
    <n v="8034"/>
    <n v="0.17"/>
    <s v="110 Main St"/>
    <x v="3"/>
    <s v="TRK60865210"/>
    <x v="0"/>
    <n v="5"/>
    <x v="2"/>
    <n v="8034"/>
    <n v="1365.7800000000002"/>
    <n v="6668.2199999999993"/>
  </r>
  <r>
    <s v="ORD200984"/>
    <x v="252"/>
    <s v="C44176"/>
    <x v="6"/>
    <n v="2"/>
    <n v="7815"/>
    <n v="0.13"/>
    <s v="706 Main St"/>
    <x v="2"/>
    <s v="TRK68704764"/>
    <x v="0"/>
    <n v="1"/>
    <x v="3"/>
    <n v="15630"/>
    <n v="2031.9"/>
    <n v="13598.1"/>
  </r>
  <r>
    <s v="ORD200985"/>
    <x v="351"/>
    <s v="C92788"/>
    <x v="6"/>
    <n v="3"/>
    <n v="5330"/>
    <n v="0.5"/>
    <s v="948 Main St"/>
    <x v="3"/>
    <s v="TRK83835361"/>
    <x v="1"/>
    <n v="6"/>
    <x v="4"/>
    <n v="15990"/>
    <n v="7995"/>
    <n v="7995"/>
  </r>
  <r>
    <s v="ORD200986"/>
    <x v="609"/>
    <s v="C69213"/>
    <x v="5"/>
    <n v="3"/>
    <n v="72282"/>
    <n v="0.38"/>
    <s v="533 Main St"/>
    <x v="2"/>
    <s v="TRK67837331"/>
    <x v="2"/>
    <n v="7"/>
    <x v="2"/>
    <n v="216846"/>
    <n v="82401.48"/>
    <n v="134444.52000000002"/>
  </r>
  <r>
    <s v="ORD200987"/>
    <x v="85"/>
    <s v="C67387"/>
    <x v="1"/>
    <n v="2"/>
    <n v="17096"/>
    <n v="0.41"/>
    <s v="436 Main St"/>
    <x v="3"/>
    <s v="TRK54120003"/>
    <x v="2"/>
    <n v="8"/>
    <x v="0"/>
    <n v="34192"/>
    <n v="14018.72"/>
    <n v="20173.28"/>
  </r>
  <r>
    <s v="ORD200988"/>
    <x v="496"/>
    <s v="C90318"/>
    <x v="6"/>
    <n v="3"/>
    <n v="2652"/>
    <n v="0.01"/>
    <s v="818 Main St"/>
    <x v="3"/>
    <s v="TRK52765043"/>
    <x v="1"/>
    <n v="5"/>
    <x v="0"/>
    <n v="7956"/>
    <n v="79.56"/>
    <n v="7876.44"/>
  </r>
  <r>
    <s v="ORD200989"/>
    <x v="613"/>
    <s v="C49995"/>
    <x v="5"/>
    <n v="3"/>
    <n v="25488"/>
    <n v="0.03"/>
    <s v="559 Main St"/>
    <x v="2"/>
    <s v="TRK33212013"/>
    <x v="2"/>
    <n v="4"/>
    <x v="0"/>
    <n v="76464"/>
    <n v="2293.92"/>
    <n v="74170.080000000002"/>
  </r>
  <r>
    <s v="ORD200990"/>
    <x v="614"/>
    <s v="C52313"/>
    <x v="1"/>
    <n v="3"/>
    <n v="40603"/>
    <n v="0.36"/>
    <s v="913 Main St"/>
    <x v="0"/>
    <s v="TRK67368559"/>
    <x v="2"/>
    <n v="2"/>
    <x v="4"/>
    <n v="121809"/>
    <n v="43851.24"/>
    <n v="77957.760000000009"/>
  </r>
  <r>
    <s v="ORD200991"/>
    <x v="593"/>
    <s v="C10211"/>
    <x v="6"/>
    <n v="2"/>
    <n v="9948"/>
    <n v="0.1"/>
    <s v="598 Main St"/>
    <x v="0"/>
    <s v="TRK68938335"/>
    <x v="1"/>
    <n v="10"/>
    <x v="4"/>
    <n v="19896"/>
    <n v="1989.6000000000001"/>
    <n v="17906.400000000001"/>
  </r>
  <r>
    <s v="ORD200992"/>
    <x v="615"/>
    <s v="C97907"/>
    <x v="4"/>
    <n v="2"/>
    <n v="8299"/>
    <n v="0.21"/>
    <s v="933 Main St"/>
    <x v="3"/>
    <s v="TRK89637569"/>
    <x v="2"/>
    <n v="4"/>
    <x v="1"/>
    <n v="16598"/>
    <n v="3485.58"/>
    <n v="13112.42"/>
  </r>
  <r>
    <s v="ORD200993"/>
    <x v="616"/>
    <s v="C61384"/>
    <x v="0"/>
    <n v="2"/>
    <n v="4460"/>
    <n v="0.09"/>
    <s v="576 Main St"/>
    <x v="3"/>
    <s v="TRK33323210"/>
    <x v="1"/>
    <n v="5"/>
    <x v="0"/>
    <n v="8920"/>
    <n v="802.8"/>
    <n v="8117.2"/>
  </r>
  <r>
    <s v="ORD200994"/>
    <x v="326"/>
    <s v="C27613"/>
    <x v="2"/>
    <n v="2"/>
    <n v="11134"/>
    <n v="0.09"/>
    <s v="971 Main St"/>
    <x v="0"/>
    <s v="TRK63701318"/>
    <x v="1"/>
    <n v="9"/>
    <x v="4"/>
    <n v="22268"/>
    <n v="2004.12"/>
    <n v="20263.88"/>
  </r>
  <r>
    <s v="ORD200995"/>
    <x v="134"/>
    <s v="C99271"/>
    <x v="0"/>
    <n v="1"/>
    <n v="5676"/>
    <n v="0.05"/>
    <s v="959 Main St"/>
    <x v="4"/>
    <s v="TRK87832736"/>
    <x v="2"/>
    <n v="5"/>
    <x v="3"/>
    <n v="5676"/>
    <n v="283.8"/>
    <n v="5392.2"/>
  </r>
  <r>
    <s v="ORD200996"/>
    <x v="578"/>
    <s v="C28648"/>
    <x v="0"/>
    <n v="2"/>
    <n v="6005"/>
    <n v="0.3"/>
    <s v="101 Main St"/>
    <x v="0"/>
    <s v="TRK92240846"/>
    <x v="1"/>
    <n v="7"/>
    <x v="3"/>
    <n v="12010"/>
    <n v="3603"/>
    <n v="8407"/>
  </r>
  <r>
    <s v="ORD200997"/>
    <x v="110"/>
    <s v="C26210"/>
    <x v="5"/>
    <n v="2"/>
    <n v="72758"/>
    <n v="0.37"/>
    <s v="805 Main St"/>
    <x v="4"/>
    <s v="TRK40616861"/>
    <x v="1"/>
    <n v="6"/>
    <x v="3"/>
    <n v="145516"/>
    <n v="53840.92"/>
    <n v="91675.08"/>
  </r>
  <r>
    <s v="ORD200998"/>
    <x v="213"/>
    <s v="C90350"/>
    <x v="1"/>
    <n v="2"/>
    <n v="39800"/>
    <n v="0.03"/>
    <s v="783 Main St"/>
    <x v="0"/>
    <s v="TRK22824230"/>
    <x v="0"/>
    <n v="6"/>
    <x v="4"/>
    <n v="79600"/>
    <n v="2388"/>
    <n v="77212"/>
  </r>
  <r>
    <s v="ORD200999"/>
    <x v="478"/>
    <s v="C61957"/>
    <x v="4"/>
    <n v="3"/>
    <n v="7350"/>
    <n v="0.14000000000000001"/>
    <s v="652 Main St"/>
    <x v="4"/>
    <s v="TRK43983841"/>
    <x v="2"/>
    <n v="6"/>
    <x v="4"/>
    <n v="22050"/>
    <n v="3087.0000000000005"/>
    <n v="18963"/>
  </r>
  <r>
    <s v="ORD201000"/>
    <x v="617"/>
    <s v="C90132"/>
    <x v="4"/>
    <n v="1"/>
    <n v="7605"/>
    <n v="0.33"/>
    <s v="582 Main St"/>
    <x v="1"/>
    <s v="TRK52664903"/>
    <x v="1"/>
    <n v="9"/>
    <x v="2"/>
    <n v="7605"/>
    <n v="2509.65"/>
    <n v="5095.3500000000004"/>
  </r>
  <r>
    <s v="ORD201001"/>
    <x v="618"/>
    <s v="C31371"/>
    <x v="4"/>
    <n v="3"/>
    <n v="9003"/>
    <n v="0.2"/>
    <s v="122 Main St"/>
    <x v="3"/>
    <s v="TRK19554327"/>
    <x v="0"/>
    <n v="6"/>
    <x v="1"/>
    <n v="27009"/>
    <n v="5401.8"/>
    <n v="21607.200000000001"/>
  </r>
  <r>
    <s v="ORD201002"/>
    <x v="619"/>
    <s v="C83911"/>
    <x v="2"/>
    <n v="1"/>
    <n v="9572"/>
    <n v="0.35"/>
    <s v="944 Main St"/>
    <x v="4"/>
    <s v="TRK33188106"/>
    <x v="2"/>
    <n v="5"/>
    <x v="1"/>
    <n v="9572"/>
    <n v="3350.2"/>
    <n v="6221.8"/>
  </r>
  <r>
    <s v="ORD201003"/>
    <x v="348"/>
    <s v="C84700"/>
    <x v="4"/>
    <n v="3"/>
    <n v="8322"/>
    <n v="0.38"/>
    <s v="582 Main St"/>
    <x v="4"/>
    <s v="TRK14706969"/>
    <x v="0"/>
    <n v="7"/>
    <x v="4"/>
    <n v="24966"/>
    <n v="9487.08"/>
    <n v="15478.92"/>
  </r>
  <r>
    <s v="ORD201004"/>
    <x v="559"/>
    <s v="C87529"/>
    <x v="3"/>
    <n v="3"/>
    <n v="15969"/>
    <n v="0.02"/>
    <s v="296 Main St"/>
    <x v="1"/>
    <s v="TRK15739505"/>
    <x v="2"/>
    <n v="8"/>
    <x v="1"/>
    <n v="47907"/>
    <n v="958.14"/>
    <n v="46948.86"/>
  </r>
  <r>
    <s v="ORD201005"/>
    <x v="521"/>
    <s v="C38065"/>
    <x v="4"/>
    <n v="1"/>
    <n v="9158"/>
    <n v="0.19"/>
    <s v="426 Main St"/>
    <x v="2"/>
    <s v="TRK11448295"/>
    <x v="0"/>
    <n v="6"/>
    <x v="4"/>
    <n v="9158"/>
    <n v="1740.02"/>
    <n v="7417.98"/>
  </r>
  <r>
    <s v="ORD201006"/>
    <x v="582"/>
    <s v="C27435"/>
    <x v="2"/>
    <n v="2"/>
    <n v="3801"/>
    <n v="0.36"/>
    <s v="860 Main St"/>
    <x v="4"/>
    <s v="TRK91458233"/>
    <x v="1"/>
    <n v="7"/>
    <x v="3"/>
    <n v="7602"/>
    <n v="2736.72"/>
    <n v="4865.2800000000007"/>
  </r>
  <r>
    <s v="ORD201007"/>
    <x v="591"/>
    <s v="C46651"/>
    <x v="0"/>
    <n v="1"/>
    <n v="1824"/>
    <n v="0.19"/>
    <s v="839 Main St"/>
    <x v="4"/>
    <s v="TRK60444502"/>
    <x v="2"/>
    <n v="4"/>
    <x v="3"/>
    <n v="1824"/>
    <n v="346.56"/>
    <n v="1477.44"/>
  </r>
  <r>
    <s v="ORD201008"/>
    <x v="620"/>
    <s v="C62557"/>
    <x v="0"/>
    <n v="1"/>
    <n v="3679"/>
    <n v="0"/>
    <s v="257 Main St"/>
    <x v="4"/>
    <s v="TRK12742366"/>
    <x v="1"/>
    <n v="8"/>
    <x v="0"/>
    <n v="3679"/>
    <n v="0"/>
    <n v="3679"/>
  </r>
  <r>
    <s v="ORD201009"/>
    <x v="621"/>
    <s v="C54494"/>
    <x v="2"/>
    <n v="1"/>
    <n v="8826"/>
    <n v="0.17"/>
    <s v="696 Main St"/>
    <x v="2"/>
    <s v="TRK95958645"/>
    <x v="1"/>
    <n v="2"/>
    <x v="2"/>
    <n v="8826"/>
    <n v="1500.42"/>
    <n v="7325.58"/>
  </r>
  <r>
    <s v="ORD201010"/>
    <x v="622"/>
    <s v="C33729"/>
    <x v="0"/>
    <n v="2"/>
    <n v="2456"/>
    <n v="0.44"/>
    <s v="533 Main St"/>
    <x v="2"/>
    <s v="TRK35649833"/>
    <x v="0"/>
    <n v="6"/>
    <x v="2"/>
    <n v="4912"/>
    <n v="2161.2800000000002"/>
    <n v="2750.72"/>
  </r>
  <r>
    <s v="ORD201011"/>
    <x v="623"/>
    <s v="C47823"/>
    <x v="1"/>
    <n v="2"/>
    <n v="38206"/>
    <n v="0.48"/>
    <s v="654 Main St"/>
    <x v="1"/>
    <s v="TRK22271097"/>
    <x v="0"/>
    <n v="3"/>
    <x v="4"/>
    <n v="76412"/>
    <n v="36677.760000000002"/>
    <n v="39734.239999999998"/>
  </r>
  <r>
    <s v="ORD201012"/>
    <x v="623"/>
    <s v="C84570"/>
    <x v="4"/>
    <n v="1"/>
    <n v="7679"/>
    <n v="0.28000000000000003"/>
    <s v="301 Main St"/>
    <x v="1"/>
    <s v="TRK12551882"/>
    <x v="2"/>
    <n v="6"/>
    <x v="3"/>
    <n v="7679"/>
    <n v="2150.1200000000003"/>
    <n v="5528.8799999999992"/>
  </r>
  <r>
    <s v="ORD201013"/>
    <x v="624"/>
    <s v="C91123"/>
    <x v="5"/>
    <n v="1"/>
    <n v="27259"/>
    <n v="0.15"/>
    <s v="842 Main St"/>
    <x v="4"/>
    <s v="TRK49568409"/>
    <x v="0"/>
    <n v="9"/>
    <x v="3"/>
    <n v="27259"/>
    <n v="4088.85"/>
    <n v="23170.15"/>
  </r>
  <r>
    <s v="ORD201014"/>
    <x v="389"/>
    <s v="C92548"/>
    <x v="2"/>
    <n v="2"/>
    <n v="10961"/>
    <n v="0.23"/>
    <s v="160 Main St"/>
    <x v="0"/>
    <s v="TRK21682892"/>
    <x v="1"/>
    <n v="6"/>
    <x v="2"/>
    <n v="21922"/>
    <n v="5042.0600000000004"/>
    <n v="16879.939999999999"/>
  </r>
  <r>
    <s v="ORD201015"/>
    <x v="547"/>
    <s v="C97454"/>
    <x v="4"/>
    <n v="2"/>
    <n v="9972"/>
    <n v="0.12"/>
    <s v="892 Main St"/>
    <x v="1"/>
    <s v="TRK73249329"/>
    <x v="0"/>
    <n v="2"/>
    <x v="0"/>
    <n v="19944"/>
    <n v="2393.2799999999997"/>
    <n v="17550.72"/>
  </r>
  <r>
    <s v="ORD201016"/>
    <x v="10"/>
    <s v="C20257"/>
    <x v="2"/>
    <n v="2"/>
    <n v="4526"/>
    <n v="0.08"/>
    <s v="669 Main St"/>
    <x v="0"/>
    <s v="TRK62135578"/>
    <x v="1"/>
    <n v="7"/>
    <x v="2"/>
    <n v="9052"/>
    <n v="724.16"/>
    <n v="8327.84"/>
  </r>
  <r>
    <s v="ORD201017"/>
    <x v="625"/>
    <s v="C51694"/>
    <x v="3"/>
    <n v="1"/>
    <n v="21009"/>
    <n v="0.25"/>
    <s v="953 Main St"/>
    <x v="3"/>
    <s v="TRK83122112"/>
    <x v="1"/>
    <n v="6"/>
    <x v="1"/>
    <n v="21009"/>
    <n v="5252.25"/>
    <n v="15756.75"/>
  </r>
  <r>
    <s v="ORD201018"/>
    <x v="307"/>
    <s v="C77499"/>
    <x v="5"/>
    <n v="1"/>
    <n v="35073"/>
    <n v="0.37"/>
    <s v="209 Main St"/>
    <x v="4"/>
    <s v="TRK20703086"/>
    <x v="1"/>
    <n v="3"/>
    <x v="0"/>
    <n v="35073"/>
    <n v="12977.01"/>
    <n v="22095.989999999998"/>
  </r>
  <r>
    <s v="ORD201019"/>
    <x v="616"/>
    <s v="C28386"/>
    <x v="6"/>
    <n v="3"/>
    <n v="1247"/>
    <n v="0.11"/>
    <s v="293 Main St"/>
    <x v="4"/>
    <s v="TRK32954229"/>
    <x v="0"/>
    <n v="2"/>
    <x v="1"/>
    <n v="3741"/>
    <n v="411.51"/>
    <n v="3329.49"/>
  </r>
  <r>
    <s v="ORD201020"/>
    <x v="181"/>
    <s v="C50211"/>
    <x v="2"/>
    <n v="3"/>
    <n v="1717"/>
    <n v="0.45"/>
    <s v="312 Main St"/>
    <x v="1"/>
    <s v="TRK47787981"/>
    <x v="1"/>
    <n v="3"/>
    <x v="0"/>
    <n v="5151"/>
    <n v="2317.9500000000003"/>
    <n v="2833.0499999999997"/>
  </r>
  <r>
    <s v="ORD201021"/>
    <x v="5"/>
    <s v="C74519"/>
    <x v="1"/>
    <n v="1"/>
    <n v="22398"/>
    <n v="0.08"/>
    <s v="309 Main St"/>
    <x v="2"/>
    <s v="TRK97351945"/>
    <x v="1"/>
    <n v="4"/>
    <x v="2"/>
    <n v="22398"/>
    <n v="1791.8400000000001"/>
    <n v="20606.16"/>
  </r>
  <r>
    <s v="ORD201022"/>
    <x v="522"/>
    <s v="C19071"/>
    <x v="2"/>
    <n v="3"/>
    <n v="2862"/>
    <n v="0.28000000000000003"/>
    <s v="396 Main St"/>
    <x v="2"/>
    <s v="TRK66537096"/>
    <x v="0"/>
    <n v="8"/>
    <x v="1"/>
    <n v="8586"/>
    <n v="2404.0800000000004"/>
    <n v="6181.92"/>
  </r>
  <r>
    <s v="ORD201023"/>
    <x v="296"/>
    <s v="C65251"/>
    <x v="5"/>
    <n v="3"/>
    <n v="41474"/>
    <n v="0.39"/>
    <s v="291 Main St"/>
    <x v="4"/>
    <s v="TRK32059025"/>
    <x v="0"/>
    <n v="10"/>
    <x v="1"/>
    <n v="124422"/>
    <n v="48524.58"/>
    <n v="75897.42"/>
  </r>
  <r>
    <s v="ORD201024"/>
    <x v="412"/>
    <s v="C90612"/>
    <x v="3"/>
    <n v="2"/>
    <n v="17608"/>
    <n v="0.11"/>
    <s v="731 Main St"/>
    <x v="4"/>
    <s v="TRK93022878"/>
    <x v="2"/>
    <n v="7"/>
    <x v="3"/>
    <n v="35216"/>
    <n v="3873.76"/>
    <n v="31342.239999999998"/>
  </r>
  <r>
    <s v="ORD201025"/>
    <x v="271"/>
    <s v="C28406"/>
    <x v="3"/>
    <n v="2"/>
    <n v="20892"/>
    <n v="0.15"/>
    <s v="174 Main St"/>
    <x v="3"/>
    <s v="TRK98841457"/>
    <x v="1"/>
    <n v="2"/>
    <x v="0"/>
    <n v="41784"/>
    <n v="6267.5999999999995"/>
    <n v="35516.400000000001"/>
  </r>
  <r>
    <s v="ORD201026"/>
    <x v="31"/>
    <s v="C55454"/>
    <x v="0"/>
    <n v="3"/>
    <n v="8771"/>
    <n v="0.03"/>
    <s v="807 Main St"/>
    <x v="1"/>
    <s v="TRK13281370"/>
    <x v="1"/>
    <n v="1"/>
    <x v="3"/>
    <n v="26313"/>
    <n v="789.39"/>
    <n v="25523.61"/>
  </r>
  <r>
    <s v="ORD201027"/>
    <x v="626"/>
    <s v="C93467"/>
    <x v="5"/>
    <n v="2"/>
    <n v="67202"/>
    <n v="0.47"/>
    <s v="983 Main St"/>
    <x v="4"/>
    <s v="TRK77377373"/>
    <x v="2"/>
    <n v="6"/>
    <x v="4"/>
    <n v="134404"/>
    <n v="63169.88"/>
    <n v="71234.12"/>
  </r>
  <r>
    <s v="ORD201028"/>
    <x v="96"/>
    <s v="C60042"/>
    <x v="6"/>
    <n v="1"/>
    <n v="5949"/>
    <n v="0.24"/>
    <s v="610 Main St"/>
    <x v="4"/>
    <s v="TRK84651559"/>
    <x v="2"/>
    <n v="6"/>
    <x v="0"/>
    <n v="5949"/>
    <n v="1427.76"/>
    <n v="4521.24"/>
  </r>
  <r>
    <s v="ORD201029"/>
    <x v="627"/>
    <s v="C44733"/>
    <x v="6"/>
    <n v="2"/>
    <n v="3738"/>
    <n v="0.03"/>
    <s v="851 Main St"/>
    <x v="2"/>
    <s v="TRK41500198"/>
    <x v="0"/>
    <n v="4"/>
    <x v="2"/>
    <n v="7476"/>
    <n v="224.28"/>
    <n v="7251.72"/>
  </r>
  <r>
    <s v="ORD201030"/>
    <x v="276"/>
    <s v="C61773"/>
    <x v="1"/>
    <n v="2"/>
    <n v="38080"/>
    <n v="0.42"/>
    <s v="176 Main St"/>
    <x v="2"/>
    <s v="TRK12936357"/>
    <x v="1"/>
    <n v="6"/>
    <x v="2"/>
    <n v="76160"/>
    <n v="31987.199999999997"/>
    <n v="44172.800000000003"/>
  </r>
  <r>
    <s v="ORD201031"/>
    <x v="285"/>
    <s v="C59183"/>
    <x v="1"/>
    <n v="1"/>
    <n v="49591"/>
    <n v="0.28000000000000003"/>
    <s v="136 Main St"/>
    <x v="0"/>
    <s v="TRK18129706"/>
    <x v="2"/>
    <n v="8"/>
    <x v="2"/>
    <n v="49591"/>
    <n v="13885.480000000001"/>
    <n v="35705.519999999997"/>
  </r>
  <r>
    <s v="ORD201032"/>
    <x v="197"/>
    <s v="C26188"/>
    <x v="3"/>
    <n v="1"/>
    <n v="37592"/>
    <n v="0.03"/>
    <s v="990 Main St"/>
    <x v="1"/>
    <s v="TRK61634201"/>
    <x v="1"/>
    <n v="6"/>
    <x v="1"/>
    <n v="37592"/>
    <n v="1127.76"/>
    <n v="36464.239999999998"/>
  </r>
  <r>
    <s v="ORD201033"/>
    <x v="628"/>
    <s v="C20338"/>
    <x v="0"/>
    <n v="2"/>
    <n v="2816"/>
    <n v="0.23"/>
    <s v="331 Main St"/>
    <x v="3"/>
    <s v="TRK30654048"/>
    <x v="1"/>
    <n v="2"/>
    <x v="1"/>
    <n v="5632"/>
    <n v="1295.3600000000001"/>
    <n v="4336.6399999999994"/>
  </r>
  <r>
    <s v="ORD201034"/>
    <x v="452"/>
    <s v="C84524"/>
    <x v="4"/>
    <n v="1"/>
    <n v="5842"/>
    <n v="0.22"/>
    <s v="766 Main St"/>
    <x v="4"/>
    <s v="TRK76751888"/>
    <x v="0"/>
    <n v="8"/>
    <x v="3"/>
    <n v="5842"/>
    <n v="1285.24"/>
    <n v="4556.76"/>
  </r>
  <r>
    <s v="ORD201035"/>
    <x v="629"/>
    <s v="C70315"/>
    <x v="5"/>
    <n v="1"/>
    <n v="46146"/>
    <n v="7.0000000000000007E-2"/>
    <s v="911 Main St"/>
    <x v="4"/>
    <s v="TRK97732085"/>
    <x v="2"/>
    <n v="5"/>
    <x v="1"/>
    <n v="46146"/>
    <n v="3230.2200000000003"/>
    <n v="42915.78"/>
  </r>
  <r>
    <s v="ORD201036"/>
    <x v="583"/>
    <s v="C98278"/>
    <x v="1"/>
    <n v="1"/>
    <n v="45592"/>
    <n v="0.21"/>
    <s v="552 Main St"/>
    <x v="3"/>
    <s v="TRK49684737"/>
    <x v="0"/>
    <n v="8"/>
    <x v="3"/>
    <n v="45592"/>
    <n v="9574.32"/>
    <n v="36017.68"/>
  </r>
  <r>
    <s v="ORD201037"/>
    <x v="141"/>
    <s v="C32347"/>
    <x v="4"/>
    <n v="1"/>
    <n v="7796"/>
    <n v="0.14000000000000001"/>
    <s v="408 Main St"/>
    <x v="4"/>
    <s v="TRK54073964"/>
    <x v="2"/>
    <n v="1"/>
    <x v="4"/>
    <n v="7796"/>
    <n v="1091.44"/>
    <n v="6704.5599999999995"/>
  </r>
  <r>
    <s v="ORD201038"/>
    <x v="175"/>
    <s v="C77961"/>
    <x v="2"/>
    <n v="1"/>
    <n v="13984"/>
    <n v="0.35"/>
    <s v="422 Main St"/>
    <x v="0"/>
    <s v="TRK28969024"/>
    <x v="2"/>
    <n v="5"/>
    <x v="3"/>
    <n v="13984"/>
    <n v="4894.3999999999996"/>
    <n v="9089.6"/>
  </r>
  <r>
    <s v="ORD201039"/>
    <x v="164"/>
    <s v="C49137"/>
    <x v="6"/>
    <n v="1"/>
    <n v="5178"/>
    <n v="0"/>
    <s v="177 Main St"/>
    <x v="2"/>
    <s v="TRK79362428"/>
    <x v="2"/>
    <n v="2"/>
    <x v="0"/>
    <n v="5178"/>
    <n v="0"/>
    <n v="5178"/>
  </r>
  <r>
    <s v="ORD201040"/>
    <x v="375"/>
    <s v="C13169"/>
    <x v="2"/>
    <n v="1"/>
    <n v="19360"/>
    <n v="0.05"/>
    <s v="932 Main St"/>
    <x v="0"/>
    <s v="TRK66288666"/>
    <x v="1"/>
    <n v="5"/>
    <x v="4"/>
    <n v="19360"/>
    <n v="968"/>
    <n v="18392"/>
  </r>
  <r>
    <s v="ORD201041"/>
    <x v="91"/>
    <s v="C21167"/>
    <x v="0"/>
    <n v="3"/>
    <n v="8025"/>
    <n v="0.46"/>
    <s v="948 Main St"/>
    <x v="3"/>
    <s v="TRK97737564"/>
    <x v="0"/>
    <n v="9"/>
    <x v="4"/>
    <n v="24075"/>
    <n v="11074.5"/>
    <n v="13000.5"/>
  </r>
  <r>
    <s v="ORD201042"/>
    <x v="65"/>
    <s v="C59724"/>
    <x v="2"/>
    <n v="2"/>
    <n v="3927"/>
    <n v="0.22"/>
    <s v="414 Main St"/>
    <x v="0"/>
    <s v="TRK67878272"/>
    <x v="0"/>
    <n v="2"/>
    <x v="3"/>
    <n v="7854"/>
    <n v="1727.88"/>
    <n v="6126.12"/>
  </r>
  <r>
    <s v="ORD201043"/>
    <x v="630"/>
    <s v="C43965"/>
    <x v="2"/>
    <n v="1"/>
    <n v="14565"/>
    <n v="0.09"/>
    <s v="675 Main St"/>
    <x v="3"/>
    <s v="TRK94346739"/>
    <x v="0"/>
    <n v="5"/>
    <x v="0"/>
    <n v="14565"/>
    <n v="1310.85"/>
    <n v="13254.15"/>
  </r>
  <r>
    <s v="ORD201044"/>
    <x v="450"/>
    <s v="C63018"/>
    <x v="4"/>
    <n v="2"/>
    <n v="6640"/>
    <n v="0.4"/>
    <s v="215 Main St"/>
    <x v="2"/>
    <s v="TRK52335337"/>
    <x v="1"/>
    <n v="4"/>
    <x v="1"/>
    <n v="13280"/>
    <n v="5312"/>
    <n v="7968"/>
  </r>
  <r>
    <s v="ORD201045"/>
    <x v="28"/>
    <s v="C11893"/>
    <x v="5"/>
    <n v="3"/>
    <n v="43242"/>
    <n v="0.43"/>
    <s v="671 Main St"/>
    <x v="3"/>
    <s v="TRK72012758"/>
    <x v="2"/>
    <n v="7"/>
    <x v="2"/>
    <n v="129726"/>
    <n v="55782.18"/>
    <n v="73943.820000000007"/>
  </r>
  <r>
    <s v="ORD201046"/>
    <x v="550"/>
    <s v="C85421"/>
    <x v="2"/>
    <n v="2"/>
    <n v="13361"/>
    <n v="0.11"/>
    <s v="466 Main St"/>
    <x v="1"/>
    <s v="TRK16524006"/>
    <x v="0"/>
    <n v="4"/>
    <x v="0"/>
    <n v="26722"/>
    <n v="2939.42"/>
    <n v="23782.58"/>
  </r>
  <r>
    <s v="ORD201047"/>
    <x v="467"/>
    <s v="C81726"/>
    <x v="3"/>
    <n v="3"/>
    <n v="40929"/>
    <n v="0.36"/>
    <s v="394 Main St"/>
    <x v="3"/>
    <s v="TRK69872994"/>
    <x v="0"/>
    <n v="6"/>
    <x v="1"/>
    <n v="122787"/>
    <n v="44203.32"/>
    <n v="78583.679999999993"/>
  </r>
  <r>
    <s v="ORD201048"/>
    <x v="82"/>
    <s v="C57601"/>
    <x v="0"/>
    <n v="2"/>
    <n v="8648"/>
    <n v="0.31"/>
    <s v="889 Main St"/>
    <x v="0"/>
    <s v="TRK21153699"/>
    <x v="0"/>
    <n v="9"/>
    <x v="4"/>
    <n v="17296"/>
    <n v="5361.76"/>
    <n v="11934.24"/>
  </r>
  <r>
    <s v="ORD201049"/>
    <x v="408"/>
    <s v="C60575"/>
    <x v="6"/>
    <n v="2"/>
    <n v="2748"/>
    <n v="0.37"/>
    <s v="587 Main St"/>
    <x v="2"/>
    <s v="TRK44468232"/>
    <x v="0"/>
    <n v="6"/>
    <x v="0"/>
    <n v="5496"/>
    <n v="2033.52"/>
    <n v="3462.48"/>
  </r>
  <r>
    <s v="ORD201050"/>
    <x v="38"/>
    <s v="C70659"/>
    <x v="5"/>
    <n v="1"/>
    <n v="58782"/>
    <n v="0.39"/>
    <s v="722 Main St"/>
    <x v="1"/>
    <s v="TRK49663597"/>
    <x v="1"/>
    <n v="9"/>
    <x v="0"/>
    <n v="58782"/>
    <n v="22924.98"/>
    <n v="35857.020000000004"/>
  </r>
  <r>
    <s v="ORD201051"/>
    <x v="376"/>
    <s v="C35043"/>
    <x v="0"/>
    <n v="2"/>
    <n v="6450"/>
    <n v="0.33"/>
    <s v="820 Main St"/>
    <x v="3"/>
    <s v="TRK65097450"/>
    <x v="0"/>
    <n v="5"/>
    <x v="3"/>
    <n v="12900"/>
    <n v="4257"/>
    <n v="8643"/>
  </r>
  <r>
    <s v="ORD201052"/>
    <x v="631"/>
    <s v="C12301"/>
    <x v="2"/>
    <n v="1"/>
    <n v="19071"/>
    <n v="0.48"/>
    <s v="493 Main St"/>
    <x v="1"/>
    <s v="TRK25145796"/>
    <x v="0"/>
    <n v="1"/>
    <x v="4"/>
    <n v="19071"/>
    <n v="9154.08"/>
    <n v="9916.92"/>
  </r>
  <r>
    <s v="ORD201053"/>
    <x v="632"/>
    <s v="C32798"/>
    <x v="1"/>
    <n v="1"/>
    <n v="44386"/>
    <n v="0.43"/>
    <s v="679 Main St"/>
    <x v="1"/>
    <s v="TRK37375451"/>
    <x v="2"/>
    <n v="2"/>
    <x v="0"/>
    <n v="44386"/>
    <n v="19085.98"/>
    <n v="25300.02"/>
  </r>
  <r>
    <s v="ORD201054"/>
    <x v="633"/>
    <s v="C42949"/>
    <x v="4"/>
    <n v="3"/>
    <n v="5299"/>
    <n v="0.11"/>
    <s v="447 Main St"/>
    <x v="0"/>
    <s v="TRK46415143"/>
    <x v="1"/>
    <n v="3"/>
    <x v="0"/>
    <n v="15897"/>
    <n v="1748.67"/>
    <n v="14148.33"/>
  </r>
  <r>
    <s v="ORD201055"/>
    <x v="5"/>
    <s v="C10787"/>
    <x v="0"/>
    <n v="3"/>
    <n v="6676"/>
    <n v="0.46"/>
    <s v="932 Main St"/>
    <x v="0"/>
    <s v="TRK91512567"/>
    <x v="1"/>
    <n v="9"/>
    <x v="2"/>
    <n v="20028"/>
    <n v="9212.880000000001"/>
    <n v="10815.119999999999"/>
  </r>
  <r>
    <s v="ORD201056"/>
    <x v="280"/>
    <s v="C26152"/>
    <x v="1"/>
    <n v="3"/>
    <n v="27919"/>
    <n v="0.18"/>
    <s v="790 Main St"/>
    <x v="1"/>
    <s v="TRK49382455"/>
    <x v="2"/>
    <n v="6"/>
    <x v="1"/>
    <n v="83757"/>
    <n v="15076.26"/>
    <n v="68680.740000000005"/>
  </r>
  <r>
    <s v="ORD201057"/>
    <x v="634"/>
    <s v="C46210"/>
    <x v="5"/>
    <n v="2"/>
    <n v="75492"/>
    <n v="0.36"/>
    <s v="535 Main St"/>
    <x v="0"/>
    <s v="TRK81611937"/>
    <x v="0"/>
    <n v="3"/>
    <x v="3"/>
    <n v="150984"/>
    <n v="54354.239999999998"/>
    <n v="96629.760000000009"/>
  </r>
  <r>
    <s v="ORD201058"/>
    <x v="102"/>
    <s v="C32943"/>
    <x v="6"/>
    <n v="3"/>
    <n v="4537"/>
    <n v="0.42"/>
    <s v="127 Main St"/>
    <x v="2"/>
    <s v="TRK26949106"/>
    <x v="0"/>
    <n v="2"/>
    <x v="0"/>
    <n v="13611"/>
    <n v="5716.62"/>
    <n v="7894.38"/>
  </r>
  <r>
    <s v="ORD201059"/>
    <x v="491"/>
    <s v="C73629"/>
    <x v="6"/>
    <n v="1"/>
    <n v="1547"/>
    <n v="0.22"/>
    <s v="601 Main St"/>
    <x v="2"/>
    <s v="TRK11492924"/>
    <x v="1"/>
    <n v="3"/>
    <x v="0"/>
    <n v="1547"/>
    <n v="340.34"/>
    <n v="1206.6600000000001"/>
  </r>
  <r>
    <s v="ORD201060"/>
    <x v="635"/>
    <s v="C38024"/>
    <x v="2"/>
    <n v="2"/>
    <n v="16420"/>
    <n v="0.03"/>
    <s v="824 Main St"/>
    <x v="4"/>
    <s v="TRK93370912"/>
    <x v="0"/>
    <n v="7"/>
    <x v="1"/>
    <n v="32840"/>
    <n v="985.19999999999993"/>
    <n v="31854.799999999999"/>
  </r>
  <r>
    <s v="ORD201061"/>
    <x v="636"/>
    <s v="C25445"/>
    <x v="5"/>
    <n v="2"/>
    <n v="64273"/>
    <n v="0.47"/>
    <s v="830 Main St"/>
    <x v="4"/>
    <s v="TRK12402431"/>
    <x v="0"/>
    <n v="8"/>
    <x v="4"/>
    <n v="128546"/>
    <n v="60416.619999999995"/>
    <n v="68129.38"/>
  </r>
  <r>
    <s v="ORD201062"/>
    <x v="421"/>
    <s v="C13501"/>
    <x v="3"/>
    <n v="1"/>
    <n v="21984"/>
    <n v="0.04"/>
    <s v="301 Main St"/>
    <x v="3"/>
    <s v="TRK65149372"/>
    <x v="2"/>
    <n v="5"/>
    <x v="3"/>
    <n v="21984"/>
    <n v="879.36"/>
    <n v="21104.639999999999"/>
  </r>
  <r>
    <s v="ORD201063"/>
    <x v="83"/>
    <s v="C42108"/>
    <x v="6"/>
    <n v="2"/>
    <n v="2678"/>
    <n v="0.17"/>
    <s v="336 Main St"/>
    <x v="2"/>
    <s v="TRK58407918"/>
    <x v="0"/>
    <n v="5"/>
    <x v="1"/>
    <n v="5356"/>
    <n v="910.5200000000001"/>
    <n v="4445.4799999999996"/>
  </r>
  <r>
    <s v="ORD201064"/>
    <x v="637"/>
    <s v="C32121"/>
    <x v="5"/>
    <n v="1"/>
    <n v="27227"/>
    <n v="0.3"/>
    <s v="654 Main St"/>
    <x v="4"/>
    <s v="TRK96074264"/>
    <x v="2"/>
    <n v="9"/>
    <x v="1"/>
    <n v="27227"/>
    <n v="8168.0999999999995"/>
    <n v="19058.900000000001"/>
  </r>
  <r>
    <s v="ORD201065"/>
    <x v="638"/>
    <s v="C47778"/>
    <x v="4"/>
    <n v="2"/>
    <n v="8053"/>
    <n v="0.06"/>
    <s v="488 Main St"/>
    <x v="0"/>
    <s v="TRK79504329"/>
    <x v="1"/>
    <n v="7"/>
    <x v="1"/>
    <n v="16106"/>
    <n v="966.36"/>
    <n v="15139.64"/>
  </r>
  <r>
    <s v="ORD201066"/>
    <x v="639"/>
    <s v="C10791"/>
    <x v="6"/>
    <n v="2"/>
    <n v="1835"/>
    <n v="0.42"/>
    <s v="674 Main St"/>
    <x v="0"/>
    <s v="TRK20321248"/>
    <x v="0"/>
    <n v="5"/>
    <x v="0"/>
    <n v="3670"/>
    <n v="1541.3999999999999"/>
    <n v="2128.6000000000004"/>
  </r>
  <r>
    <s v="ORD201067"/>
    <x v="640"/>
    <s v="C78959"/>
    <x v="1"/>
    <n v="2"/>
    <n v="21514"/>
    <n v="0.1"/>
    <s v="384 Main St"/>
    <x v="1"/>
    <s v="TRK37426359"/>
    <x v="0"/>
    <n v="2"/>
    <x v="0"/>
    <n v="43028"/>
    <n v="4302.8"/>
    <n v="38725.199999999997"/>
  </r>
  <r>
    <s v="ORD201068"/>
    <x v="240"/>
    <s v="C29914"/>
    <x v="5"/>
    <n v="1"/>
    <n v="42050"/>
    <n v="0.49"/>
    <s v="469 Main St"/>
    <x v="0"/>
    <s v="TRK22073506"/>
    <x v="0"/>
    <n v="2"/>
    <x v="1"/>
    <n v="42050"/>
    <n v="20604.5"/>
    <n v="21445.5"/>
  </r>
  <r>
    <s v="ORD201069"/>
    <x v="641"/>
    <s v="C70506"/>
    <x v="0"/>
    <n v="1"/>
    <n v="8337"/>
    <n v="0.46"/>
    <s v="255 Main St"/>
    <x v="3"/>
    <s v="TRK12518384"/>
    <x v="1"/>
    <n v="3"/>
    <x v="3"/>
    <n v="8337"/>
    <n v="3835.02"/>
    <n v="4501.9799999999996"/>
  </r>
  <r>
    <s v="ORD201070"/>
    <x v="605"/>
    <s v="C46873"/>
    <x v="6"/>
    <n v="3"/>
    <n v="2607"/>
    <n v="0.3"/>
    <s v="496 Main St"/>
    <x v="0"/>
    <s v="TRK10926575"/>
    <x v="2"/>
    <n v="6"/>
    <x v="2"/>
    <n v="7821"/>
    <n v="2346.2999999999997"/>
    <n v="5474.7000000000007"/>
  </r>
  <r>
    <s v="ORD201071"/>
    <x v="53"/>
    <s v="C94037"/>
    <x v="1"/>
    <n v="3"/>
    <n v="48038"/>
    <n v="0.33"/>
    <s v="216 Main St"/>
    <x v="4"/>
    <s v="TRK47536985"/>
    <x v="0"/>
    <n v="2"/>
    <x v="4"/>
    <n v="144114"/>
    <n v="47557.62"/>
    <n v="96556.38"/>
  </r>
  <r>
    <s v="ORD201072"/>
    <x v="297"/>
    <s v="C88644"/>
    <x v="0"/>
    <n v="1"/>
    <n v="5239"/>
    <n v="0.27"/>
    <s v="977 Main St"/>
    <x v="3"/>
    <s v="TRK14900878"/>
    <x v="2"/>
    <n v="4"/>
    <x v="1"/>
    <n v="5239"/>
    <n v="1414.5300000000002"/>
    <n v="3824.47"/>
  </r>
  <r>
    <s v="ORD201073"/>
    <x v="642"/>
    <s v="C69471"/>
    <x v="2"/>
    <n v="3"/>
    <n v="13308"/>
    <n v="0.2"/>
    <s v="294 Main St"/>
    <x v="0"/>
    <s v="TRK11107152"/>
    <x v="0"/>
    <n v="4"/>
    <x v="3"/>
    <n v="39924"/>
    <n v="7984.8"/>
    <n v="31939.200000000001"/>
  </r>
  <r>
    <s v="ORD201074"/>
    <x v="451"/>
    <s v="C21437"/>
    <x v="1"/>
    <n v="2"/>
    <n v="34454"/>
    <n v="0.18"/>
    <s v="120 Main St"/>
    <x v="1"/>
    <s v="TRK81624772"/>
    <x v="0"/>
    <n v="4"/>
    <x v="4"/>
    <n v="68908"/>
    <n v="12403.439999999999"/>
    <n v="56504.56"/>
  </r>
  <r>
    <s v="ORD201075"/>
    <x v="169"/>
    <s v="C40949"/>
    <x v="0"/>
    <n v="2"/>
    <n v="8371"/>
    <n v="0.45"/>
    <s v="609 Main St"/>
    <x v="0"/>
    <s v="TRK43066749"/>
    <x v="1"/>
    <n v="7"/>
    <x v="0"/>
    <n v="16742"/>
    <n v="7533.9000000000005"/>
    <n v="9208.0999999999985"/>
  </r>
  <r>
    <s v="ORD201076"/>
    <x v="20"/>
    <s v="C99116"/>
    <x v="5"/>
    <n v="1"/>
    <n v="67350"/>
    <n v="0.28999999999999998"/>
    <s v="176 Main St"/>
    <x v="4"/>
    <s v="TRK52711973"/>
    <x v="0"/>
    <n v="6"/>
    <x v="1"/>
    <n v="67350"/>
    <n v="19531.5"/>
    <n v="47818.5"/>
  </r>
  <r>
    <s v="ORD201077"/>
    <x v="456"/>
    <s v="C57861"/>
    <x v="4"/>
    <n v="3"/>
    <n v="8960"/>
    <n v="0.41"/>
    <s v="115 Main St"/>
    <x v="2"/>
    <s v="TRK47775217"/>
    <x v="0"/>
    <n v="8"/>
    <x v="1"/>
    <n v="26880"/>
    <n v="11020.8"/>
    <n v="15859.2"/>
  </r>
  <r>
    <s v="ORD201078"/>
    <x v="168"/>
    <s v="C62627"/>
    <x v="6"/>
    <n v="2"/>
    <n v="7040"/>
    <n v="0.26"/>
    <s v="881 Main St"/>
    <x v="1"/>
    <s v="TRK90060232"/>
    <x v="1"/>
    <n v="4"/>
    <x v="2"/>
    <n v="14080"/>
    <n v="3660.8"/>
    <n v="10419.200000000001"/>
  </r>
  <r>
    <s v="ORD201079"/>
    <x v="643"/>
    <s v="C89979"/>
    <x v="1"/>
    <n v="1"/>
    <n v="17404"/>
    <n v="0.15"/>
    <s v="144 Main St"/>
    <x v="3"/>
    <s v="TRK99055909"/>
    <x v="1"/>
    <n v="8"/>
    <x v="2"/>
    <n v="17404"/>
    <n v="2610.6"/>
    <n v="14793.4"/>
  </r>
  <r>
    <s v="ORD201080"/>
    <x v="325"/>
    <s v="C70613"/>
    <x v="5"/>
    <n v="2"/>
    <n v="40867"/>
    <n v="0.05"/>
    <s v="438 Main St"/>
    <x v="3"/>
    <s v="TRK33140293"/>
    <x v="1"/>
    <n v="7"/>
    <x v="1"/>
    <n v="81734"/>
    <n v="4086.7000000000003"/>
    <n v="77647.3"/>
  </r>
  <r>
    <s v="ORD201081"/>
    <x v="453"/>
    <s v="C55636"/>
    <x v="0"/>
    <n v="3"/>
    <n v="3662"/>
    <n v="0.16"/>
    <s v="494 Main St"/>
    <x v="2"/>
    <s v="TRK85897054"/>
    <x v="2"/>
    <n v="5"/>
    <x v="4"/>
    <n v="10986"/>
    <n v="1757.76"/>
    <n v="9228.24"/>
  </r>
  <r>
    <s v="ORD201082"/>
    <x v="426"/>
    <s v="C96595"/>
    <x v="3"/>
    <n v="3"/>
    <n v="24895"/>
    <n v="0.44"/>
    <s v="177 Main St"/>
    <x v="0"/>
    <s v="TRK59779174"/>
    <x v="2"/>
    <n v="5"/>
    <x v="2"/>
    <n v="74685"/>
    <n v="32861.4"/>
    <n v="41823.599999999999"/>
  </r>
  <r>
    <s v="ORD201083"/>
    <x v="644"/>
    <s v="C68508"/>
    <x v="3"/>
    <n v="3"/>
    <n v="34121"/>
    <n v="0.36"/>
    <s v="895 Main St"/>
    <x v="2"/>
    <s v="TRK98960285"/>
    <x v="1"/>
    <n v="3"/>
    <x v="2"/>
    <n v="102363"/>
    <n v="36850.68"/>
    <n v="65512.32"/>
  </r>
  <r>
    <s v="ORD201084"/>
    <x v="124"/>
    <s v="C45175"/>
    <x v="1"/>
    <n v="1"/>
    <n v="31151"/>
    <n v="0.39"/>
    <s v="128 Main St"/>
    <x v="3"/>
    <s v="TRK41792296"/>
    <x v="2"/>
    <n v="1"/>
    <x v="0"/>
    <n v="31151"/>
    <n v="12148.890000000001"/>
    <n v="19002.11"/>
  </r>
  <r>
    <s v="ORD201085"/>
    <x v="54"/>
    <s v="C28049"/>
    <x v="4"/>
    <n v="1"/>
    <n v="5015"/>
    <n v="0.39"/>
    <s v="404 Main St"/>
    <x v="0"/>
    <s v="TRK91426444"/>
    <x v="0"/>
    <n v="7"/>
    <x v="0"/>
    <n v="5015"/>
    <n v="1955.8500000000001"/>
    <n v="3059.1499999999996"/>
  </r>
  <r>
    <s v="ORD201086"/>
    <x v="475"/>
    <s v="C46967"/>
    <x v="2"/>
    <n v="2"/>
    <n v="15243"/>
    <n v="0.06"/>
    <s v="401 Main St"/>
    <x v="1"/>
    <s v="TRK91439791"/>
    <x v="2"/>
    <n v="5"/>
    <x v="0"/>
    <n v="30486"/>
    <n v="1829.1599999999999"/>
    <n v="28656.84"/>
  </r>
  <r>
    <s v="ORD201087"/>
    <x v="411"/>
    <s v="C84134"/>
    <x v="5"/>
    <n v="1"/>
    <n v="59910"/>
    <n v="0.08"/>
    <s v="530 Main St"/>
    <x v="1"/>
    <s v="TRK48659380"/>
    <x v="0"/>
    <n v="8"/>
    <x v="0"/>
    <n v="59910"/>
    <n v="4792.8"/>
    <n v="55117.2"/>
  </r>
  <r>
    <s v="ORD201088"/>
    <x v="115"/>
    <s v="C49831"/>
    <x v="6"/>
    <n v="3"/>
    <n v="6395"/>
    <n v="0.16"/>
    <s v="213 Main St"/>
    <x v="3"/>
    <s v="TRK21232601"/>
    <x v="0"/>
    <n v="6"/>
    <x v="0"/>
    <n v="19185"/>
    <n v="3069.6"/>
    <n v="16115.4"/>
  </r>
  <r>
    <s v="ORD201089"/>
    <x v="175"/>
    <s v="C13324"/>
    <x v="2"/>
    <n v="2"/>
    <n v="14879"/>
    <n v="0.15"/>
    <s v="440 Main St"/>
    <x v="3"/>
    <s v="TRK66967997"/>
    <x v="0"/>
    <n v="2"/>
    <x v="0"/>
    <n v="29758"/>
    <n v="4463.7"/>
    <n v="25294.3"/>
  </r>
  <r>
    <s v="ORD201090"/>
    <x v="641"/>
    <s v="C61225"/>
    <x v="0"/>
    <n v="1"/>
    <n v="3365"/>
    <n v="0.03"/>
    <s v="996 Main St"/>
    <x v="3"/>
    <s v="TRK37022954"/>
    <x v="0"/>
    <n v="6"/>
    <x v="0"/>
    <n v="3365"/>
    <n v="100.95"/>
    <n v="3264.05"/>
  </r>
  <r>
    <s v="ORD201091"/>
    <x v="192"/>
    <s v="C16400"/>
    <x v="5"/>
    <n v="2"/>
    <n v="28784"/>
    <n v="0.08"/>
    <s v="123 Main St"/>
    <x v="0"/>
    <s v="TRK57771859"/>
    <x v="2"/>
    <n v="4"/>
    <x v="2"/>
    <n v="57568"/>
    <n v="4605.4400000000005"/>
    <n v="52962.559999999998"/>
  </r>
  <r>
    <s v="ORD201092"/>
    <x v="531"/>
    <s v="C38642"/>
    <x v="5"/>
    <n v="1"/>
    <n v="44556"/>
    <n v="0.43"/>
    <s v="930 Main St"/>
    <x v="0"/>
    <s v="TRK47744396"/>
    <x v="1"/>
    <n v="6"/>
    <x v="2"/>
    <n v="44556"/>
    <n v="19159.079999999998"/>
    <n v="25396.920000000002"/>
  </r>
  <r>
    <s v="ORD201093"/>
    <x v="308"/>
    <s v="C86773"/>
    <x v="1"/>
    <n v="1"/>
    <n v="24051"/>
    <n v="0.28999999999999998"/>
    <s v="557 Main St"/>
    <x v="3"/>
    <s v="TRK22612240"/>
    <x v="1"/>
    <n v="9"/>
    <x v="0"/>
    <n v="24051"/>
    <n v="6974.79"/>
    <n v="17076.21"/>
  </r>
  <r>
    <s v="ORD201094"/>
    <x v="342"/>
    <s v="C66093"/>
    <x v="4"/>
    <n v="3"/>
    <n v="7904"/>
    <n v="0.17"/>
    <s v="615 Main St"/>
    <x v="2"/>
    <s v="TRK54950785"/>
    <x v="0"/>
    <n v="6"/>
    <x v="0"/>
    <n v="23712"/>
    <n v="4031.0400000000004"/>
    <n v="19680.96"/>
  </r>
  <r>
    <s v="ORD201095"/>
    <x v="234"/>
    <s v="C33051"/>
    <x v="1"/>
    <n v="3"/>
    <n v="18129"/>
    <n v="0.26"/>
    <s v="397 Main St"/>
    <x v="1"/>
    <s v="TRK92929755"/>
    <x v="1"/>
    <n v="2"/>
    <x v="2"/>
    <n v="54387"/>
    <n v="14140.62"/>
    <n v="40246.379999999997"/>
  </r>
  <r>
    <s v="ORD201096"/>
    <x v="120"/>
    <s v="C18169"/>
    <x v="2"/>
    <n v="1"/>
    <n v="2904"/>
    <n v="0.13"/>
    <s v="782 Main St"/>
    <x v="0"/>
    <s v="TRK49482923"/>
    <x v="1"/>
    <n v="2"/>
    <x v="3"/>
    <n v="2904"/>
    <n v="377.52000000000004"/>
    <n v="2526.48"/>
  </r>
  <r>
    <s v="ORD201097"/>
    <x v="645"/>
    <s v="C81370"/>
    <x v="0"/>
    <n v="2"/>
    <n v="1863"/>
    <n v="0.28999999999999998"/>
    <s v="344 Main St"/>
    <x v="3"/>
    <s v="TRK99682998"/>
    <x v="0"/>
    <n v="7"/>
    <x v="4"/>
    <n v="3726"/>
    <n v="1080.54"/>
    <n v="2645.46"/>
  </r>
  <r>
    <s v="ORD201098"/>
    <x v="646"/>
    <s v="C91103"/>
    <x v="0"/>
    <n v="2"/>
    <n v="6793"/>
    <n v="0.04"/>
    <s v="155 Main St"/>
    <x v="2"/>
    <s v="TRK91653000"/>
    <x v="1"/>
    <n v="7"/>
    <x v="2"/>
    <n v="13586"/>
    <n v="543.44000000000005"/>
    <n v="13042.56"/>
  </r>
  <r>
    <s v="ORD201099"/>
    <x v="556"/>
    <s v="C21953"/>
    <x v="5"/>
    <n v="3"/>
    <n v="52855"/>
    <n v="0.45"/>
    <s v="272 Main St"/>
    <x v="4"/>
    <s v="TRK60774796"/>
    <x v="2"/>
    <n v="3"/>
    <x v="2"/>
    <n v="158565"/>
    <n v="71354.25"/>
    <n v="87210.75"/>
  </r>
  <r>
    <s v="ORD201100"/>
    <x v="538"/>
    <s v="C15146"/>
    <x v="5"/>
    <n v="1"/>
    <n v="56520"/>
    <n v="0.12"/>
    <s v="428 Main St"/>
    <x v="0"/>
    <s v="TRK79790530"/>
    <x v="1"/>
    <n v="6"/>
    <x v="0"/>
    <n v="56520"/>
    <n v="6782.4"/>
    <n v="49737.599999999999"/>
  </r>
  <r>
    <s v="ORD201101"/>
    <x v="647"/>
    <s v="C43546"/>
    <x v="0"/>
    <n v="3"/>
    <n v="9448"/>
    <n v="0.41"/>
    <s v="904 Main St"/>
    <x v="4"/>
    <s v="TRK85871121"/>
    <x v="2"/>
    <n v="4"/>
    <x v="2"/>
    <n v="28344"/>
    <n v="11621.039999999999"/>
    <n v="16722.96"/>
  </r>
  <r>
    <s v="ORD201102"/>
    <x v="561"/>
    <s v="C98474"/>
    <x v="3"/>
    <n v="1"/>
    <n v="15517"/>
    <n v="0.33"/>
    <s v="997 Main St"/>
    <x v="0"/>
    <s v="TRK86192984"/>
    <x v="0"/>
    <n v="8"/>
    <x v="0"/>
    <n v="15517"/>
    <n v="5120.6100000000006"/>
    <n v="10396.39"/>
  </r>
  <r>
    <s v="ORD201103"/>
    <x v="648"/>
    <s v="C90292"/>
    <x v="5"/>
    <n v="3"/>
    <n v="31820"/>
    <n v="0.26"/>
    <s v="129 Main St"/>
    <x v="1"/>
    <s v="TRK26270357"/>
    <x v="1"/>
    <n v="5"/>
    <x v="4"/>
    <n v="95460"/>
    <n v="24819.600000000002"/>
    <n v="70640.399999999994"/>
  </r>
  <r>
    <s v="ORD201104"/>
    <x v="568"/>
    <s v="C17075"/>
    <x v="2"/>
    <n v="1"/>
    <n v="19848"/>
    <n v="0.46"/>
    <s v="850 Main St"/>
    <x v="1"/>
    <s v="TRK63547510"/>
    <x v="0"/>
    <n v="8"/>
    <x v="0"/>
    <n v="19848"/>
    <n v="9130.08"/>
    <n v="10717.92"/>
  </r>
  <r>
    <s v="ORD201105"/>
    <x v="649"/>
    <s v="C12487"/>
    <x v="2"/>
    <n v="3"/>
    <n v="12051"/>
    <n v="0.08"/>
    <s v="884 Main St"/>
    <x v="3"/>
    <s v="TRK23324770"/>
    <x v="2"/>
    <n v="3"/>
    <x v="4"/>
    <n v="36153"/>
    <n v="2892.2400000000002"/>
    <n v="33260.76"/>
  </r>
  <r>
    <s v="ORD201106"/>
    <x v="255"/>
    <s v="C34555"/>
    <x v="3"/>
    <n v="3"/>
    <n v="28853"/>
    <n v="0.06"/>
    <s v="903 Main St"/>
    <x v="4"/>
    <s v="TRK72859458"/>
    <x v="1"/>
    <n v="6"/>
    <x v="3"/>
    <n v="86559"/>
    <n v="5193.54"/>
    <n v="81365.460000000006"/>
  </r>
  <r>
    <s v="ORD201107"/>
    <x v="233"/>
    <s v="C25110"/>
    <x v="2"/>
    <n v="2"/>
    <n v="9673"/>
    <n v="0.16"/>
    <s v="282 Main St"/>
    <x v="1"/>
    <s v="TRK80963328"/>
    <x v="2"/>
    <n v="4"/>
    <x v="4"/>
    <n v="19346"/>
    <n v="3095.36"/>
    <n v="16250.64"/>
  </r>
  <r>
    <s v="ORD201108"/>
    <x v="650"/>
    <s v="C35136"/>
    <x v="5"/>
    <n v="2"/>
    <n v="49414"/>
    <n v="0.42"/>
    <s v="462 Main St"/>
    <x v="1"/>
    <s v="TRK49753703"/>
    <x v="1"/>
    <n v="5"/>
    <x v="0"/>
    <n v="98828"/>
    <n v="41507.760000000002"/>
    <n v="57320.24"/>
  </r>
  <r>
    <s v="ORD201109"/>
    <x v="651"/>
    <s v="C62277"/>
    <x v="4"/>
    <n v="1"/>
    <n v="9615"/>
    <n v="0.02"/>
    <s v="474 Main St"/>
    <x v="3"/>
    <s v="TRK32026174"/>
    <x v="0"/>
    <n v="7"/>
    <x v="0"/>
    <n v="9615"/>
    <n v="192.3"/>
    <n v="9422.7000000000007"/>
  </r>
  <r>
    <s v="ORD201110"/>
    <x v="402"/>
    <s v="C12472"/>
    <x v="3"/>
    <n v="1"/>
    <n v="18043"/>
    <n v="0.12"/>
    <s v="912 Main St"/>
    <x v="2"/>
    <s v="TRK36103184"/>
    <x v="0"/>
    <n v="3"/>
    <x v="2"/>
    <n v="18043"/>
    <n v="2165.16"/>
    <n v="15877.84"/>
  </r>
  <r>
    <s v="ORD201111"/>
    <x v="306"/>
    <s v="C24047"/>
    <x v="0"/>
    <n v="3"/>
    <n v="5019"/>
    <n v="0.21"/>
    <s v="362 Main St"/>
    <x v="1"/>
    <s v="TRK91338580"/>
    <x v="2"/>
    <n v="9"/>
    <x v="0"/>
    <n v="15057"/>
    <n v="3161.97"/>
    <n v="11895.03"/>
  </r>
  <r>
    <s v="ORD201112"/>
    <x v="652"/>
    <s v="C76929"/>
    <x v="6"/>
    <n v="2"/>
    <n v="8754"/>
    <n v="0.36"/>
    <s v="563 Main St"/>
    <x v="1"/>
    <s v="TRK80694400"/>
    <x v="1"/>
    <n v="1"/>
    <x v="0"/>
    <n v="17508"/>
    <n v="6302.88"/>
    <n v="11205.119999999999"/>
  </r>
  <r>
    <s v="ORD201113"/>
    <x v="111"/>
    <s v="C52914"/>
    <x v="6"/>
    <n v="1"/>
    <n v="8326"/>
    <n v="0.15"/>
    <s v="168 Main St"/>
    <x v="4"/>
    <s v="TRK80819053"/>
    <x v="1"/>
    <n v="8"/>
    <x v="4"/>
    <n v="8326"/>
    <n v="1248.8999999999999"/>
    <n v="7077.1"/>
  </r>
  <r>
    <s v="ORD201114"/>
    <x v="653"/>
    <s v="C55164"/>
    <x v="2"/>
    <n v="3"/>
    <n v="18556"/>
    <n v="0.22"/>
    <s v="609 Main St"/>
    <x v="3"/>
    <s v="TRK79610967"/>
    <x v="0"/>
    <n v="3"/>
    <x v="4"/>
    <n v="55668"/>
    <n v="12246.960000000001"/>
    <n v="43421.04"/>
  </r>
  <r>
    <s v="ORD201115"/>
    <x v="126"/>
    <s v="C70426"/>
    <x v="5"/>
    <n v="3"/>
    <n v="39724"/>
    <n v="0.17"/>
    <s v="562 Main St"/>
    <x v="1"/>
    <s v="TRK89687816"/>
    <x v="2"/>
    <n v="3"/>
    <x v="4"/>
    <n v="119172"/>
    <n v="20259.240000000002"/>
    <n v="98912.76"/>
  </r>
  <r>
    <s v="ORD201116"/>
    <x v="612"/>
    <s v="C69149"/>
    <x v="4"/>
    <n v="3"/>
    <n v="6581"/>
    <n v="0.05"/>
    <s v="562 Main St"/>
    <x v="2"/>
    <s v="TRK61265132"/>
    <x v="1"/>
    <n v="7"/>
    <x v="3"/>
    <n v="19743"/>
    <n v="987.15000000000009"/>
    <n v="18755.849999999999"/>
  </r>
  <r>
    <s v="ORD201117"/>
    <x v="199"/>
    <s v="C78684"/>
    <x v="3"/>
    <n v="3"/>
    <n v="48317"/>
    <n v="0.37"/>
    <s v="858 Main St"/>
    <x v="3"/>
    <s v="TRK95779073"/>
    <x v="0"/>
    <n v="8"/>
    <x v="4"/>
    <n v="144951"/>
    <n v="53631.87"/>
    <n v="91319.13"/>
  </r>
  <r>
    <s v="ORD201118"/>
    <x v="75"/>
    <s v="C58168"/>
    <x v="1"/>
    <n v="3"/>
    <n v="24053"/>
    <n v="0.23"/>
    <s v="359 Main St"/>
    <x v="2"/>
    <s v="TRK99102265"/>
    <x v="0"/>
    <n v="4"/>
    <x v="2"/>
    <n v="72159"/>
    <n v="16596.57"/>
    <n v="55562.43"/>
  </r>
  <r>
    <s v="ORD201119"/>
    <x v="167"/>
    <s v="C99024"/>
    <x v="5"/>
    <n v="1"/>
    <n v="75044"/>
    <n v="0.41"/>
    <s v="250 Main St"/>
    <x v="2"/>
    <s v="TRK24675988"/>
    <x v="1"/>
    <n v="1"/>
    <x v="2"/>
    <n v="75044"/>
    <n v="30768.039999999997"/>
    <n v="44275.960000000006"/>
  </r>
  <r>
    <s v="ORD201120"/>
    <x v="400"/>
    <s v="C22919"/>
    <x v="2"/>
    <n v="2"/>
    <n v="6608"/>
    <n v="0.35"/>
    <s v="267 Main St"/>
    <x v="1"/>
    <s v="TRK82416295"/>
    <x v="2"/>
    <n v="3"/>
    <x v="3"/>
    <n v="13216"/>
    <n v="4625.5999999999995"/>
    <n v="8590.4000000000015"/>
  </r>
  <r>
    <s v="ORD201121"/>
    <x v="654"/>
    <s v="C98354"/>
    <x v="1"/>
    <n v="3"/>
    <n v="38437"/>
    <n v="0.03"/>
    <s v="393 Main St"/>
    <x v="3"/>
    <s v="TRK43070888"/>
    <x v="0"/>
    <n v="3"/>
    <x v="0"/>
    <n v="115311"/>
    <n v="3459.33"/>
    <n v="111851.67"/>
  </r>
  <r>
    <s v="ORD201122"/>
    <x v="323"/>
    <s v="C38840"/>
    <x v="0"/>
    <n v="2"/>
    <n v="2963"/>
    <n v="0.25"/>
    <s v="766 Main St"/>
    <x v="1"/>
    <s v="TRK32496970"/>
    <x v="2"/>
    <n v="8"/>
    <x v="3"/>
    <n v="5926"/>
    <n v="1481.5"/>
    <n v="4444.5"/>
  </r>
  <r>
    <s v="ORD201123"/>
    <x v="655"/>
    <s v="C68936"/>
    <x v="2"/>
    <n v="2"/>
    <n v="12181"/>
    <n v="0.5"/>
    <s v="843 Main St"/>
    <x v="0"/>
    <s v="TRK73163634"/>
    <x v="0"/>
    <n v="6"/>
    <x v="1"/>
    <n v="24362"/>
    <n v="12181"/>
    <n v="12181"/>
  </r>
  <r>
    <s v="ORD201124"/>
    <x v="221"/>
    <s v="C33744"/>
    <x v="3"/>
    <n v="1"/>
    <n v="22420"/>
    <n v="0.15"/>
    <s v="888 Main St"/>
    <x v="3"/>
    <s v="TRK40245983"/>
    <x v="2"/>
    <n v="5"/>
    <x v="0"/>
    <n v="22420"/>
    <n v="3363"/>
    <n v="19057"/>
  </r>
  <r>
    <s v="ORD201125"/>
    <x v="504"/>
    <s v="C23555"/>
    <x v="6"/>
    <n v="3"/>
    <n v="2144"/>
    <n v="0.25"/>
    <s v="156 Main St"/>
    <x v="3"/>
    <s v="TRK67210247"/>
    <x v="1"/>
    <n v="4"/>
    <x v="1"/>
    <n v="6432"/>
    <n v="1608"/>
    <n v="4824"/>
  </r>
  <r>
    <s v="ORD201126"/>
    <x v="319"/>
    <s v="C34337"/>
    <x v="1"/>
    <n v="1"/>
    <n v="18418"/>
    <n v="0.33"/>
    <s v="325 Main St"/>
    <x v="4"/>
    <s v="TRK36195559"/>
    <x v="1"/>
    <n v="7"/>
    <x v="4"/>
    <n v="18418"/>
    <n v="6077.9400000000005"/>
    <n v="12340.06"/>
  </r>
  <r>
    <s v="ORD201127"/>
    <x v="175"/>
    <s v="C69396"/>
    <x v="4"/>
    <n v="2"/>
    <n v="9123"/>
    <n v="0.1"/>
    <s v="920 Main St"/>
    <x v="2"/>
    <s v="TRK33155049"/>
    <x v="0"/>
    <n v="6"/>
    <x v="2"/>
    <n v="18246"/>
    <n v="1824.6000000000001"/>
    <n v="16421.400000000001"/>
  </r>
  <r>
    <s v="ORD201128"/>
    <x v="538"/>
    <s v="C49198"/>
    <x v="0"/>
    <n v="3"/>
    <n v="5021"/>
    <n v="0.35"/>
    <s v="447 Main St"/>
    <x v="4"/>
    <s v="TRK10883354"/>
    <x v="0"/>
    <n v="5"/>
    <x v="4"/>
    <n v="15063"/>
    <n v="5272.0499999999993"/>
    <n v="9790.9500000000007"/>
  </r>
  <r>
    <s v="ORD201129"/>
    <x v="236"/>
    <s v="C43911"/>
    <x v="3"/>
    <n v="2"/>
    <n v="49657"/>
    <n v="0.33"/>
    <s v="239 Main St"/>
    <x v="4"/>
    <s v="TRK37495481"/>
    <x v="2"/>
    <n v="8"/>
    <x v="0"/>
    <n v="99314"/>
    <n v="32773.620000000003"/>
    <n v="66540.38"/>
  </r>
  <r>
    <s v="ORD201130"/>
    <x v="656"/>
    <s v="C24347"/>
    <x v="5"/>
    <n v="2"/>
    <n v="46240"/>
    <n v="0.19"/>
    <s v="533 Main St"/>
    <x v="2"/>
    <s v="TRK27233265"/>
    <x v="2"/>
    <n v="5"/>
    <x v="0"/>
    <n v="92480"/>
    <n v="17571.2"/>
    <n v="74908.800000000003"/>
  </r>
  <r>
    <s v="ORD201131"/>
    <x v="408"/>
    <s v="C21043"/>
    <x v="1"/>
    <n v="2"/>
    <n v="42592"/>
    <n v="0.14000000000000001"/>
    <s v="195 Main St"/>
    <x v="2"/>
    <s v="TRK41691086"/>
    <x v="2"/>
    <n v="3"/>
    <x v="3"/>
    <n v="85184"/>
    <n v="11925.760000000002"/>
    <n v="73258.239999999991"/>
  </r>
  <r>
    <s v="ORD201132"/>
    <x v="657"/>
    <s v="C58858"/>
    <x v="3"/>
    <n v="2"/>
    <n v="46882"/>
    <n v="0.46"/>
    <s v="948 Main St"/>
    <x v="2"/>
    <s v="TRK30406357"/>
    <x v="2"/>
    <n v="4"/>
    <x v="2"/>
    <n v="93764"/>
    <n v="43131.44"/>
    <n v="50632.56"/>
  </r>
  <r>
    <s v="ORD201133"/>
    <x v="398"/>
    <s v="C20670"/>
    <x v="4"/>
    <n v="2"/>
    <n v="7321"/>
    <n v="0.06"/>
    <s v="432 Main St"/>
    <x v="3"/>
    <s v="TRK76731303"/>
    <x v="2"/>
    <n v="5"/>
    <x v="3"/>
    <n v="14642"/>
    <n v="878.52"/>
    <n v="13763.48"/>
  </r>
  <r>
    <s v="ORD201134"/>
    <x v="180"/>
    <s v="C90993"/>
    <x v="6"/>
    <n v="2"/>
    <n v="3689"/>
    <n v="0.22"/>
    <s v="950 Main St"/>
    <x v="0"/>
    <s v="TRK53964711"/>
    <x v="1"/>
    <n v="4"/>
    <x v="3"/>
    <n v="7378"/>
    <n v="1623.16"/>
    <n v="5754.84"/>
  </r>
  <r>
    <s v="ORD201135"/>
    <x v="153"/>
    <s v="C11473"/>
    <x v="4"/>
    <n v="3"/>
    <n v="7223"/>
    <n v="0.38"/>
    <s v="562 Main St"/>
    <x v="1"/>
    <s v="TRK97793275"/>
    <x v="0"/>
    <n v="2"/>
    <x v="4"/>
    <n v="21669"/>
    <n v="8234.2199999999993"/>
    <n v="13434.78"/>
  </r>
  <r>
    <s v="ORD201136"/>
    <x v="463"/>
    <s v="C71899"/>
    <x v="2"/>
    <n v="2"/>
    <n v="12059"/>
    <n v="7.0000000000000007E-2"/>
    <s v="799 Main St"/>
    <x v="3"/>
    <s v="TRK34856025"/>
    <x v="2"/>
    <n v="4"/>
    <x v="3"/>
    <n v="24118"/>
    <n v="1688.2600000000002"/>
    <n v="22429.739999999998"/>
  </r>
  <r>
    <s v="ORD201137"/>
    <x v="511"/>
    <s v="C48577"/>
    <x v="4"/>
    <n v="1"/>
    <n v="8859"/>
    <n v="0.47"/>
    <s v="841 Main St"/>
    <x v="4"/>
    <s v="TRK59911645"/>
    <x v="2"/>
    <n v="5"/>
    <x v="0"/>
    <n v="8859"/>
    <n v="4163.7299999999996"/>
    <n v="4695.2700000000004"/>
  </r>
  <r>
    <s v="ORD201138"/>
    <x v="552"/>
    <s v="C13100"/>
    <x v="6"/>
    <n v="1"/>
    <n v="8194"/>
    <n v="0.26"/>
    <s v="188 Main St"/>
    <x v="0"/>
    <s v="TRK55565668"/>
    <x v="2"/>
    <n v="4"/>
    <x v="0"/>
    <n v="8194"/>
    <n v="2130.44"/>
    <n v="6063.5599999999995"/>
  </r>
  <r>
    <s v="ORD201139"/>
    <x v="627"/>
    <s v="C70659"/>
    <x v="3"/>
    <n v="3"/>
    <n v="15093"/>
    <n v="0.25"/>
    <s v="568 Main St"/>
    <x v="3"/>
    <s v="TRK28290825"/>
    <x v="0"/>
    <n v="4"/>
    <x v="2"/>
    <n v="45279"/>
    <n v="11319.75"/>
    <n v="33959.25"/>
  </r>
  <r>
    <s v="ORD201140"/>
    <x v="658"/>
    <s v="C49838"/>
    <x v="4"/>
    <n v="2"/>
    <n v="7306"/>
    <n v="0.21"/>
    <s v="904 Main St"/>
    <x v="2"/>
    <s v="TRK38297718"/>
    <x v="2"/>
    <n v="3"/>
    <x v="1"/>
    <n v="14612"/>
    <n v="3068.52"/>
    <n v="11543.48"/>
  </r>
  <r>
    <s v="ORD201141"/>
    <x v="656"/>
    <s v="C11998"/>
    <x v="3"/>
    <n v="1"/>
    <n v="16519"/>
    <n v="0.43"/>
    <s v="382 Main St"/>
    <x v="4"/>
    <s v="TRK26707221"/>
    <x v="1"/>
    <n v="6"/>
    <x v="2"/>
    <n v="16519"/>
    <n v="7103.17"/>
    <n v="9415.83"/>
  </r>
  <r>
    <s v="ORD201142"/>
    <x v="1"/>
    <s v="C23405"/>
    <x v="1"/>
    <n v="3"/>
    <n v="26749"/>
    <n v="0.47"/>
    <s v="484 Main St"/>
    <x v="0"/>
    <s v="TRK83678708"/>
    <x v="2"/>
    <n v="8"/>
    <x v="2"/>
    <n v="80247"/>
    <n v="37716.089999999997"/>
    <n v="42530.91"/>
  </r>
  <r>
    <s v="ORD201143"/>
    <x v="659"/>
    <s v="C41132"/>
    <x v="3"/>
    <n v="2"/>
    <n v="25921"/>
    <n v="0.19"/>
    <s v="114 Main St"/>
    <x v="0"/>
    <s v="TRK51040137"/>
    <x v="2"/>
    <n v="5"/>
    <x v="2"/>
    <n v="51842"/>
    <n v="9849.98"/>
    <n v="41992.020000000004"/>
  </r>
  <r>
    <s v="ORD201144"/>
    <x v="223"/>
    <s v="C88463"/>
    <x v="6"/>
    <n v="1"/>
    <n v="5836"/>
    <n v="0.27"/>
    <s v="292 Main St"/>
    <x v="1"/>
    <s v="TRK88749996"/>
    <x v="2"/>
    <n v="9"/>
    <x v="3"/>
    <n v="5836"/>
    <n v="1575.72"/>
    <n v="4260.28"/>
  </r>
  <r>
    <s v="ORD201145"/>
    <x v="275"/>
    <s v="C28152"/>
    <x v="6"/>
    <n v="1"/>
    <n v="9611"/>
    <n v="0.16"/>
    <s v="821 Main St"/>
    <x v="0"/>
    <s v="TRK59642814"/>
    <x v="1"/>
    <n v="6"/>
    <x v="3"/>
    <n v="9611"/>
    <n v="1537.76"/>
    <n v="8073.24"/>
  </r>
  <r>
    <s v="ORD201146"/>
    <x v="525"/>
    <s v="C36383"/>
    <x v="0"/>
    <n v="3"/>
    <n v="9104"/>
    <n v="0.18"/>
    <s v="286 Main St"/>
    <x v="4"/>
    <s v="TRK93336357"/>
    <x v="2"/>
    <n v="5"/>
    <x v="0"/>
    <n v="27312"/>
    <n v="4916.16"/>
    <n v="22395.84"/>
  </r>
  <r>
    <s v="ORD201147"/>
    <x v="143"/>
    <s v="C19759"/>
    <x v="3"/>
    <n v="1"/>
    <n v="45130"/>
    <n v="0.01"/>
    <s v="234 Main St"/>
    <x v="1"/>
    <s v="TRK22515454"/>
    <x v="2"/>
    <n v="2"/>
    <x v="2"/>
    <n v="45130"/>
    <n v="451.3"/>
    <n v="44678.7"/>
  </r>
  <r>
    <s v="ORD201148"/>
    <x v="611"/>
    <s v="C54886"/>
    <x v="1"/>
    <n v="2"/>
    <n v="22179"/>
    <n v="0.39"/>
    <s v="442 Main St"/>
    <x v="4"/>
    <s v="TRK66241930"/>
    <x v="0"/>
    <n v="2"/>
    <x v="2"/>
    <n v="44358"/>
    <n v="17299.62"/>
    <n v="27058.38"/>
  </r>
  <r>
    <s v="ORD201149"/>
    <x v="568"/>
    <s v="C27305"/>
    <x v="3"/>
    <n v="1"/>
    <n v="41941"/>
    <n v="0.48"/>
    <s v="957 Main St"/>
    <x v="2"/>
    <s v="TRK28789916"/>
    <x v="2"/>
    <n v="6"/>
    <x v="0"/>
    <n v="41941"/>
    <n v="20131.68"/>
    <n v="21809.32"/>
  </r>
  <r>
    <s v="ORD201150"/>
    <x v="215"/>
    <s v="C17921"/>
    <x v="6"/>
    <n v="3"/>
    <n v="7446"/>
    <n v="0.38"/>
    <s v="119 Main St"/>
    <x v="2"/>
    <s v="TRK79291524"/>
    <x v="2"/>
    <n v="8"/>
    <x v="1"/>
    <n v="22338"/>
    <n v="8488.44"/>
    <n v="13849.56"/>
  </r>
  <r>
    <s v="ORD201151"/>
    <x v="22"/>
    <s v="C94381"/>
    <x v="3"/>
    <n v="1"/>
    <n v="32760"/>
    <n v="0.26"/>
    <s v="962 Main St"/>
    <x v="4"/>
    <s v="TRK69804304"/>
    <x v="2"/>
    <n v="4"/>
    <x v="4"/>
    <n v="32760"/>
    <n v="8517.6"/>
    <n v="24242.400000000001"/>
  </r>
  <r>
    <s v="ORD201152"/>
    <x v="576"/>
    <s v="C25162"/>
    <x v="2"/>
    <n v="2"/>
    <n v="5207"/>
    <n v="0.41"/>
    <s v="533 Main St"/>
    <x v="2"/>
    <s v="TRK42183078"/>
    <x v="0"/>
    <n v="7"/>
    <x v="1"/>
    <n v="10414"/>
    <n v="4269.74"/>
    <n v="6144.26"/>
  </r>
  <r>
    <s v="ORD201153"/>
    <x v="393"/>
    <s v="C98317"/>
    <x v="0"/>
    <n v="1"/>
    <n v="4793"/>
    <n v="0.43"/>
    <s v="276 Main St"/>
    <x v="0"/>
    <s v="TRK37172138"/>
    <x v="0"/>
    <n v="4"/>
    <x v="0"/>
    <n v="4793"/>
    <n v="2060.9899999999998"/>
    <n v="2732.01"/>
  </r>
  <r>
    <s v="ORD201154"/>
    <x v="113"/>
    <s v="C53631"/>
    <x v="0"/>
    <n v="3"/>
    <n v="8349"/>
    <n v="0.27"/>
    <s v="593 Main St"/>
    <x v="4"/>
    <s v="TRK67589167"/>
    <x v="2"/>
    <n v="8"/>
    <x v="0"/>
    <n v="25047"/>
    <n v="6762.6900000000005"/>
    <n v="18284.309999999998"/>
  </r>
  <r>
    <s v="ORD201155"/>
    <x v="340"/>
    <s v="C41478"/>
    <x v="4"/>
    <n v="3"/>
    <n v="8823"/>
    <n v="0.47"/>
    <s v="667 Main St"/>
    <x v="2"/>
    <s v="TRK62068126"/>
    <x v="1"/>
    <n v="6"/>
    <x v="3"/>
    <n v="26469"/>
    <n v="12440.429999999998"/>
    <n v="14028.570000000002"/>
  </r>
  <r>
    <s v="ORD201156"/>
    <x v="45"/>
    <s v="C20512"/>
    <x v="5"/>
    <n v="1"/>
    <n v="54065"/>
    <n v="0.02"/>
    <s v="980 Main St"/>
    <x v="2"/>
    <s v="TRK98234737"/>
    <x v="0"/>
    <n v="9"/>
    <x v="1"/>
    <n v="54065"/>
    <n v="1081.3"/>
    <n v="52983.7"/>
  </r>
  <r>
    <s v="ORD201157"/>
    <x v="382"/>
    <s v="C25841"/>
    <x v="0"/>
    <n v="1"/>
    <n v="7643"/>
    <n v="0.01"/>
    <s v="242 Main St"/>
    <x v="0"/>
    <s v="TRK21451375"/>
    <x v="1"/>
    <n v="5"/>
    <x v="4"/>
    <n v="7643"/>
    <n v="76.430000000000007"/>
    <n v="7566.57"/>
  </r>
  <r>
    <s v="ORD201158"/>
    <x v="197"/>
    <s v="C82781"/>
    <x v="0"/>
    <n v="1"/>
    <n v="3734"/>
    <n v="0.04"/>
    <s v="661 Main St"/>
    <x v="0"/>
    <s v="TRK20605418"/>
    <x v="2"/>
    <n v="4"/>
    <x v="1"/>
    <n v="3734"/>
    <n v="149.36000000000001"/>
    <n v="3584.64"/>
  </r>
  <r>
    <s v="ORD201159"/>
    <x v="203"/>
    <s v="C66112"/>
    <x v="6"/>
    <n v="1"/>
    <n v="1431"/>
    <n v="0.03"/>
    <s v="874 Main St"/>
    <x v="0"/>
    <s v="TRK60955607"/>
    <x v="1"/>
    <n v="8"/>
    <x v="0"/>
    <n v="1431"/>
    <n v="42.93"/>
    <n v="1388.07"/>
  </r>
  <r>
    <s v="ORD201160"/>
    <x v="333"/>
    <s v="C40466"/>
    <x v="6"/>
    <n v="3"/>
    <n v="5499"/>
    <n v="0.21"/>
    <s v="449 Main St"/>
    <x v="0"/>
    <s v="TRK70255168"/>
    <x v="0"/>
    <n v="5"/>
    <x v="2"/>
    <n v="16497"/>
    <n v="3464.37"/>
    <n v="13032.630000000001"/>
  </r>
  <r>
    <s v="ORD201161"/>
    <x v="504"/>
    <s v="C32570"/>
    <x v="1"/>
    <n v="2"/>
    <n v="47758"/>
    <n v="0.47"/>
    <s v="826 Main St"/>
    <x v="4"/>
    <s v="TRK35969968"/>
    <x v="2"/>
    <n v="6"/>
    <x v="2"/>
    <n v="95516"/>
    <n v="44892.52"/>
    <n v="50623.48"/>
  </r>
  <r>
    <s v="ORD201162"/>
    <x v="660"/>
    <s v="C29405"/>
    <x v="1"/>
    <n v="1"/>
    <n v="46407"/>
    <n v="0.34"/>
    <s v="251 Main St"/>
    <x v="0"/>
    <s v="TRK33125798"/>
    <x v="1"/>
    <n v="3"/>
    <x v="1"/>
    <n v="46407"/>
    <n v="15778.380000000001"/>
    <n v="30628.62"/>
  </r>
  <r>
    <s v="ORD201163"/>
    <x v="184"/>
    <s v="C30643"/>
    <x v="5"/>
    <n v="1"/>
    <n v="44146"/>
    <n v="0.33"/>
    <s v="966 Main St"/>
    <x v="2"/>
    <s v="TRK19477485"/>
    <x v="1"/>
    <n v="7"/>
    <x v="0"/>
    <n v="44146"/>
    <n v="14568.18"/>
    <n v="29577.82"/>
  </r>
  <r>
    <s v="ORD201164"/>
    <x v="649"/>
    <s v="C65890"/>
    <x v="2"/>
    <n v="1"/>
    <n v="5379"/>
    <n v="0.19"/>
    <s v="340 Main St"/>
    <x v="0"/>
    <s v="TRK64530489"/>
    <x v="1"/>
    <n v="6"/>
    <x v="2"/>
    <n v="5379"/>
    <n v="1022.01"/>
    <n v="4356.99"/>
  </r>
  <r>
    <s v="ORD201165"/>
    <x v="328"/>
    <s v="C36992"/>
    <x v="3"/>
    <n v="3"/>
    <n v="15647"/>
    <n v="0.27"/>
    <s v="617 Main St"/>
    <x v="0"/>
    <s v="TRK63460217"/>
    <x v="2"/>
    <n v="3"/>
    <x v="4"/>
    <n v="46941"/>
    <n v="12674.070000000002"/>
    <n v="34266.93"/>
  </r>
  <r>
    <s v="ORD201166"/>
    <x v="48"/>
    <s v="C95568"/>
    <x v="3"/>
    <n v="1"/>
    <n v="28470"/>
    <n v="0.15"/>
    <s v="971 Main St"/>
    <x v="4"/>
    <s v="TRK37075292"/>
    <x v="1"/>
    <n v="4"/>
    <x v="2"/>
    <n v="28470"/>
    <n v="4270.5"/>
    <n v="24199.5"/>
  </r>
  <r>
    <s v="ORD201167"/>
    <x v="661"/>
    <s v="C17966"/>
    <x v="4"/>
    <n v="3"/>
    <n v="8957"/>
    <n v="0.26"/>
    <s v="360 Main St"/>
    <x v="2"/>
    <s v="TRK31169396"/>
    <x v="2"/>
    <n v="5"/>
    <x v="3"/>
    <n v="26871"/>
    <n v="6986.46"/>
    <n v="19884.54"/>
  </r>
  <r>
    <s v="ORD201168"/>
    <x v="505"/>
    <s v="C89559"/>
    <x v="5"/>
    <n v="1"/>
    <n v="57198"/>
    <n v="0.37"/>
    <s v="297 Main St"/>
    <x v="2"/>
    <s v="TRK82838108"/>
    <x v="1"/>
    <n v="6"/>
    <x v="4"/>
    <n v="57198"/>
    <n v="21163.26"/>
    <n v="36034.740000000005"/>
  </r>
  <r>
    <s v="ORD201169"/>
    <x v="662"/>
    <s v="C15849"/>
    <x v="3"/>
    <n v="2"/>
    <n v="49858"/>
    <n v="0.28000000000000003"/>
    <s v="643 Main St"/>
    <x v="4"/>
    <s v="TRK26794546"/>
    <x v="1"/>
    <n v="2"/>
    <x v="0"/>
    <n v="99716"/>
    <n v="27920.480000000003"/>
    <n v="71795.51999999999"/>
  </r>
  <r>
    <s v="ORD201170"/>
    <x v="567"/>
    <s v="C94257"/>
    <x v="4"/>
    <n v="1"/>
    <n v="6618"/>
    <n v="0.21"/>
    <s v="762 Main St"/>
    <x v="4"/>
    <s v="TRK40220743"/>
    <x v="0"/>
    <n v="7"/>
    <x v="2"/>
    <n v="6618"/>
    <n v="1389.78"/>
    <n v="5228.22"/>
  </r>
  <r>
    <s v="ORD201171"/>
    <x v="81"/>
    <s v="C39911"/>
    <x v="1"/>
    <n v="1"/>
    <n v="45004"/>
    <n v="0.42"/>
    <s v="699 Main St"/>
    <x v="2"/>
    <s v="TRK80431998"/>
    <x v="1"/>
    <n v="7"/>
    <x v="3"/>
    <n v="45004"/>
    <n v="18901.68"/>
    <n v="26102.32"/>
  </r>
  <r>
    <s v="ORD201172"/>
    <x v="496"/>
    <s v="C28828"/>
    <x v="6"/>
    <n v="2"/>
    <n v="4540"/>
    <n v="0.14000000000000001"/>
    <s v="745 Main St"/>
    <x v="2"/>
    <s v="TRK32550359"/>
    <x v="2"/>
    <n v="8"/>
    <x v="0"/>
    <n v="9080"/>
    <n v="1271.2"/>
    <n v="7808.8"/>
  </r>
  <r>
    <s v="ORD201173"/>
    <x v="449"/>
    <s v="C82921"/>
    <x v="0"/>
    <n v="3"/>
    <n v="5156"/>
    <n v="0.24"/>
    <s v="703 Main St"/>
    <x v="1"/>
    <s v="TRK31079911"/>
    <x v="0"/>
    <n v="4"/>
    <x v="2"/>
    <n v="15468"/>
    <n v="3712.3199999999997"/>
    <n v="11755.68"/>
  </r>
  <r>
    <s v="ORD201174"/>
    <x v="110"/>
    <s v="C50159"/>
    <x v="4"/>
    <n v="1"/>
    <n v="8381"/>
    <n v="0.49"/>
    <s v="105 Main St"/>
    <x v="2"/>
    <s v="TRK53737452"/>
    <x v="0"/>
    <n v="5"/>
    <x v="2"/>
    <n v="8381"/>
    <n v="4106.6899999999996"/>
    <n v="4274.3100000000004"/>
  </r>
  <r>
    <s v="ORD201175"/>
    <x v="663"/>
    <s v="C62512"/>
    <x v="4"/>
    <n v="1"/>
    <n v="8475"/>
    <n v="0.48"/>
    <s v="368 Main St"/>
    <x v="0"/>
    <s v="TRK24139954"/>
    <x v="0"/>
    <n v="8"/>
    <x v="1"/>
    <n v="8475"/>
    <n v="4068"/>
    <n v="4407"/>
  </r>
  <r>
    <s v="ORD201176"/>
    <x v="340"/>
    <s v="C39260"/>
    <x v="2"/>
    <n v="2"/>
    <n v="4223"/>
    <n v="0"/>
    <s v="374 Main St"/>
    <x v="0"/>
    <s v="TRK55587314"/>
    <x v="2"/>
    <n v="2"/>
    <x v="2"/>
    <n v="8446"/>
    <n v="0"/>
    <n v="8446"/>
  </r>
  <r>
    <s v="ORD201177"/>
    <x v="664"/>
    <s v="C23917"/>
    <x v="4"/>
    <n v="1"/>
    <n v="8755"/>
    <n v="0.27"/>
    <s v="433 Main St"/>
    <x v="4"/>
    <s v="TRK44434536"/>
    <x v="0"/>
    <n v="3"/>
    <x v="1"/>
    <n v="8755"/>
    <n v="2363.8500000000004"/>
    <n v="6391.15"/>
  </r>
  <r>
    <s v="ORD201178"/>
    <x v="50"/>
    <s v="C65107"/>
    <x v="0"/>
    <n v="3"/>
    <n v="2955"/>
    <n v="0.17"/>
    <s v="456 Main St"/>
    <x v="2"/>
    <s v="TRK10261578"/>
    <x v="1"/>
    <n v="4"/>
    <x v="4"/>
    <n v="8865"/>
    <n v="1507.0500000000002"/>
    <n v="7357.95"/>
  </r>
  <r>
    <s v="ORD201179"/>
    <x v="124"/>
    <s v="C84630"/>
    <x v="5"/>
    <n v="1"/>
    <n v="54345"/>
    <n v="0.15"/>
    <s v="907 Main St"/>
    <x v="2"/>
    <s v="TRK48054997"/>
    <x v="1"/>
    <n v="6"/>
    <x v="0"/>
    <n v="54345"/>
    <n v="8151.75"/>
    <n v="46193.25"/>
  </r>
  <r>
    <s v="ORD201180"/>
    <x v="150"/>
    <s v="C42235"/>
    <x v="3"/>
    <n v="1"/>
    <n v="28616"/>
    <n v="0.3"/>
    <s v="722 Main St"/>
    <x v="0"/>
    <s v="TRK49379882"/>
    <x v="2"/>
    <n v="8"/>
    <x v="4"/>
    <n v="28616"/>
    <n v="8584.7999999999993"/>
    <n v="20031.2"/>
  </r>
  <r>
    <s v="ORD201181"/>
    <x v="152"/>
    <s v="C70246"/>
    <x v="6"/>
    <n v="1"/>
    <n v="5815"/>
    <n v="0.22"/>
    <s v="293 Main St"/>
    <x v="1"/>
    <s v="TRK45708320"/>
    <x v="2"/>
    <n v="7"/>
    <x v="0"/>
    <n v="5815"/>
    <n v="1279.3"/>
    <n v="4535.7"/>
  </r>
  <r>
    <s v="ORD201182"/>
    <x v="554"/>
    <s v="C18473"/>
    <x v="3"/>
    <n v="3"/>
    <n v="31349"/>
    <n v="0.37"/>
    <s v="700 Main St"/>
    <x v="3"/>
    <s v="TRK97834202"/>
    <x v="0"/>
    <n v="3"/>
    <x v="4"/>
    <n v="94047"/>
    <n v="34797.39"/>
    <n v="59249.61"/>
  </r>
  <r>
    <s v="ORD201183"/>
    <x v="228"/>
    <s v="C12607"/>
    <x v="6"/>
    <n v="3"/>
    <n v="2615"/>
    <n v="0.01"/>
    <s v="460 Main St"/>
    <x v="3"/>
    <s v="TRK83653396"/>
    <x v="0"/>
    <n v="6"/>
    <x v="1"/>
    <n v="7845"/>
    <n v="78.45"/>
    <n v="7766.55"/>
  </r>
  <r>
    <s v="ORD201184"/>
    <x v="610"/>
    <s v="C10222"/>
    <x v="5"/>
    <n v="2"/>
    <n v="37500"/>
    <n v="0.46"/>
    <s v="979 Main St"/>
    <x v="3"/>
    <s v="TRK86297895"/>
    <x v="1"/>
    <n v="4"/>
    <x v="4"/>
    <n v="75000"/>
    <n v="34500"/>
    <n v="40500"/>
  </r>
  <r>
    <s v="ORD201185"/>
    <x v="665"/>
    <s v="C77344"/>
    <x v="3"/>
    <n v="2"/>
    <n v="27361"/>
    <n v="0.28000000000000003"/>
    <s v="777 Main St"/>
    <x v="3"/>
    <s v="TRK20605055"/>
    <x v="0"/>
    <n v="6"/>
    <x v="4"/>
    <n v="54722"/>
    <n v="15322.160000000002"/>
    <n v="39399.839999999997"/>
  </r>
  <r>
    <s v="ORD201186"/>
    <x v="134"/>
    <s v="C65497"/>
    <x v="0"/>
    <n v="1"/>
    <n v="2237"/>
    <n v="0.34"/>
    <s v="676 Main St"/>
    <x v="4"/>
    <s v="TRK83702761"/>
    <x v="0"/>
    <n v="6"/>
    <x v="3"/>
    <n v="2237"/>
    <n v="760.58"/>
    <n v="1476.42"/>
  </r>
  <r>
    <s v="ORD201187"/>
    <x v="206"/>
    <s v="C26340"/>
    <x v="6"/>
    <n v="3"/>
    <n v="3020"/>
    <n v="0.3"/>
    <s v="562 Main St"/>
    <x v="3"/>
    <s v="TRK59962703"/>
    <x v="1"/>
    <n v="7"/>
    <x v="2"/>
    <n v="9060"/>
    <n v="2718"/>
    <n v="6342"/>
  </r>
  <r>
    <s v="ORD201188"/>
    <x v="47"/>
    <s v="C75619"/>
    <x v="4"/>
    <n v="3"/>
    <n v="8654"/>
    <n v="0.49"/>
    <s v="924 Main St"/>
    <x v="3"/>
    <s v="TRK23086941"/>
    <x v="0"/>
    <n v="5"/>
    <x v="3"/>
    <n v="25962"/>
    <n v="12721.38"/>
    <n v="13240.62"/>
  </r>
  <r>
    <s v="ORD201189"/>
    <x v="666"/>
    <s v="C96136"/>
    <x v="2"/>
    <n v="2"/>
    <n v="8657"/>
    <n v="0.49"/>
    <s v="149 Main St"/>
    <x v="4"/>
    <s v="TRK60856682"/>
    <x v="0"/>
    <n v="7"/>
    <x v="1"/>
    <n v="17314"/>
    <n v="8483.86"/>
    <n v="8830.14"/>
  </r>
  <r>
    <s v="ORD201190"/>
    <x v="647"/>
    <s v="C46886"/>
    <x v="6"/>
    <n v="1"/>
    <n v="8082"/>
    <n v="0.3"/>
    <s v="754 Main St"/>
    <x v="2"/>
    <s v="TRK82791646"/>
    <x v="0"/>
    <n v="6"/>
    <x v="0"/>
    <n v="8082"/>
    <n v="2424.6"/>
    <n v="5657.4"/>
  </r>
  <r>
    <s v="ORD201191"/>
    <x v="441"/>
    <s v="C44148"/>
    <x v="6"/>
    <n v="1"/>
    <n v="4299"/>
    <n v="0.34"/>
    <s v="809 Main St"/>
    <x v="3"/>
    <s v="TRK67872709"/>
    <x v="2"/>
    <n v="5"/>
    <x v="0"/>
    <n v="4299"/>
    <n v="1461.66"/>
    <n v="2837.34"/>
  </r>
  <r>
    <s v="ORD201192"/>
    <x v="329"/>
    <s v="C72007"/>
    <x v="3"/>
    <n v="2"/>
    <n v="31521"/>
    <n v="0.31"/>
    <s v="999 Main St"/>
    <x v="1"/>
    <s v="TRK16240916"/>
    <x v="2"/>
    <n v="4"/>
    <x v="0"/>
    <n v="63042"/>
    <n v="19543.02"/>
    <n v="43498.979999999996"/>
  </r>
  <r>
    <s v="ORD201193"/>
    <x v="667"/>
    <s v="C45104"/>
    <x v="2"/>
    <n v="3"/>
    <n v="16524"/>
    <n v="0.16"/>
    <s v="348 Main St"/>
    <x v="4"/>
    <s v="TRK38559816"/>
    <x v="1"/>
    <n v="1"/>
    <x v="2"/>
    <n v="49572"/>
    <n v="7931.52"/>
    <n v="41640.479999999996"/>
  </r>
  <r>
    <s v="ORD201194"/>
    <x v="614"/>
    <s v="C29885"/>
    <x v="4"/>
    <n v="3"/>
    <n v="7135"/>
    <n v="0.1"/>
    <s v="725 Main St"/>
    <x v="4"/>
    <s v="TRK62067865"/>
    <x v="2"/>
    <n v="4"/>
    <x v="2"/>
    <n v="21405"/>
    <n v="2140.5"/>
    <n v="19264.5"/>
  </r>
  <r>
    <s v="ORD201195"/>
    <x v="643"/>
    <s v="C21126"/>
    <x v="6"/>
    <n v="3"/>
    <n v="6991"/>
    <n v="0.2"/>
    <s v="392 Main St"/>
    <x v="2"/>
    <s v="TRK38009181"/>
    <x v="0"/>
    <n v="6"/>
    <x v="4"/>
    <n v="20973"/>
    <n v="4194.6000000000004"/>
    <n v="16778.400000000001"/>
  </r>
  <r>
    <s v="ORD201196"/>
    <x v="668"/>
    <s v="C20095"/>
    <x v="0"/>
    <n v="3"/>
    <n v="8527"/>
    <n v="0.34"/>
    <s v="778 Main St"/>
    <x v="1"/>
    <s v="TRK69207593"/>
    <x v="1"/>
    <n v="5"/>
    <x v="3"/>
    <n v="25581"/>
    <n v="8697.5400000000009"/>
    <n v="16883.46"/>
  </r>
  <r>
    <s v="ORD201197"/>
    <x v="669"/>
    <s v="C79674"/>
    <x v="2"/>
    <n v="1"/>
    <n v="7355"/>
    <n v="0.03"/>
    <s v="275 Main St"/>
    <x v="1"/>
    <s v="TRK88039356"/>
    <x v="1"/>
    <n v="2"/>
    <x v="0"/>
    <n v="7355"/>
    <n v="220.65"/>
    <n v="7134.35"/>
  </r>
  <r>
    <s v="ORD201198"/>
    <x v="670"/>
    <s v="C64753"/>
    <x v="3"/>
    <n v="1"/>
    <n v="31880"/>
    <n v="0.26"/>
    <s v="509 Main St"/>
    <x v="0"/>
    <s v="TRK71683331"/>
    <x v="2"/>
    <n v="4"/>
    <x v="0"/>
    <n v="31880"/>
    <n v="8288.8000000000011"/>
    <n v="23591.199999999997"/>
  </r>
  <r>
    <s v="ORD201199"/>
    <x v="236"/>
    <s v="C57502"/>
    <x v="2"/>
    <n v="2"/>
    <n v="4510"/>
    <n v="0.2"/>
    <s v="201 Main St"/>
    <x v="3"/>
    <s v="TRK51116746"/>
    <x v="0"/>
    <n v="6"/>
    <x v="1"/>
    <n v="9020"/>
    <n v="1804"/>
    <n v="72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99832-EF38-4FFA-BB6E-8B160414341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4:K25" firstHeaderRow="1" firstDataRow="1" firstDataCol="0"/>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dataField="1" showAll="0"/>
    <pivotField showAll="0"/>
    <pivotField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DCF950-89CE-42A4-9568-4328CFA87AE8}" name="Yearwise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5:F19" firstHeaderRow="1" firstDataRow="1" firstDataCol="1"/>
  <pivotFields count="19">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8"/>
    <field x="16"/>
    <field x="17"/>
    <field x="1"/>
  </rowFields>
  <rowItems count="4">
    <i>
      <x v="1"/>
    </i>
    <i>
      <x v="2"/>
    </i>
    <i>
      <x v="3"/>
    </i>
    <i t="grand">
      <x/>
    </i>
  </rowItems>
  <colItems count="1">
    <i/>
  </colItems>
  <dataFields count="1">
    <dataField name="Sum of Total Price" fld="13" baseField="0" baseItem="0"/>
  </dataFields>
  <formats count="4">
    <format dxfId="47">
      <pivotArea collapsedLevelsAreSubtotals="1" fieldPosition="0">
        <references count="1">
          <reference field="18" count="1">
            <x v="1"/>
          </reference>
        </references>
      </pivotArea>
    </format>
    <format dxfId="46">
      <pivotArea collapsedLevelsAreSubtotals="1" fieldPosition="0">
        <references count="1">
          <reference field="18" count="1">
            <x v="2"/>
          </reference>
        </references>
      </pivotArea>
    </format>
    <format dxfId="45">
      <pivotArea collapsedLevelsAreSubtotals="1" fieldPosition="0">
        <references count="1">
          <reference field="18" count="1">
            <x v="3"/>
          </reference>
        </references>
      </pivotArea>
    </format>
    <format dxfId="44">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8" count="1" selected="0">
            <x v="1"/>
          </reference>
        </references>
      </pivotArea>
    </chartFormat>
    <chartFormat chart="10" format="18">
      <pivotArea type="data" outline="0" fieldPosition="0">
        <references count="2">
          <reference field="4294967294" count="1" selected="0">
            <x v="0"/>
          </reference>
          <reference field="18" count="1" selected="0">
            <x v="2"/>
          </reference>
        </references>
      </pivotArea>
    </chartFormat>
    <chartFormat chart="10" format="19">
      <pivotArea type="data" outline="0" fieldPosition="0">
        <references count="2">
          <reference field="4294967294" count="1" selected="0">
            <x v="0"/>
          </reference>
          <reference field="18"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0C5D87-613E-45C0-9D1E-3ECE428DD1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J25" firstHeaderRow="1" firstDataRow="1" firstDataCol="0"/>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Price" fld="13"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BA2144-A2A5-4412-B06D-9ECDBD25FDD6}" name="Productwise total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5"/>
        <item x="0"/>
        <item x="1"/>
        <item x="4"/>
        <item x="6"/>
        <item x="2"/>
        <item x="3"/>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 Price" fld="13" baseField="0" baseItem="0"/>
  </dataFields>
  <formats count="8">
    <format dxfId="55">
      <pivotArea collapsedLevelsAreSubtotals="1" fieldPosition="0">
        <references count="1">
          <reference field="3" count="1">
            <x v="0"/>
          </reference>
        </references>
      </pivotArea>
    </format>
    <format dxfId="54">
      <pivotArea collapsedLevelsAreSubtotals="1" fieldPosition="0">
        <references count="1">
          <reference field="3" count="1">
            <x v="1"/>
          </reference>
        </references>
      </pivotArea>
    </format>
    <format dxfId="53">
      <pivotArea collapsedLevelsAreSubtotals="1" fieldPosition="0">
        <references count="1">
          <reference field="3" count="1">
            <x v="2"/>
          </reference>
        </references>
      </pivotArea>
    </format>
    <format dxfId="52">
      <pivotArea collapsedLevelsAreSubtotals="1" fieldPosition="0">
        <references count="1">
          <reference field="3" count="1">
            <x v="3"/>
          </reference>
        </references>
      </pivotArea>
    </format>
    <format dxfId="51">
      <pivotArea collapsedLevelsAreSubtotals="1" fieldPosition="0">
        <references count="1">
          <reference field="3" count="1">
            <x v="4"/>
          </reference>
        </references>
      </pivotArea>
    </format>
    <format dxfId="50">
      <pivotArea collapsedLevelsAreSubtotals="1" fieldPosition="0">
        <references count="1">
          <reference field="3" count="1">
            <x v="5"/>
          </reference>
        </references>
      </pivotArea>
    </format>
    <format dxfId="49">
      <pivotArea collapsedLevelsAreSubtotals="1" fieldPosition="0">
        <references count="1">
          <reference field="3" count="1">
            <x v="6"/>
          </reference>
        </references>
      </pivotArea>
    </format>
    <format dxfId="48">
      <pivotArea grandRow="1" outline="0" collapsedLevelsAreSubtotals="1" fieldPosition="0"/>
    </format>
  </formats>
  <chartFormats count="8">
    <chartFormat chart="10" format="48" series="1">
      <pivotArea type="data" outline="0" fieldPosition="0">
        <references count="1">
          <reference field="4294967294" count="1" selected="0">
            <x v="0"/>
          </reference>
        </references>
      </pivotArea>
    </chartFormat>
    <chartFormat chart="10" format="49">
      <pivotArea type="data" outline="0" fieldPosition="0">
        <references count="2">
          <reference field="4294967294" count="1" selected="0">
            <x v="0"/>
          </reference>
          <reference field="3" count="1" selected="0">
            <x v="0"/>
          </reference>
        </references>
      </pivotArea>
    </chartFormat>
    <chartFormat chart="10" format="50">
      <pivotArea type="data" outline="0" fieldPosition="0">
        <references count="2">
          <reference field="4294967294" count="1" selected="0">
            <x v="0"/>
          </reference>
          <reference field="3" count="1" selected="0">
            <x v="1"/>
          </reference>
        </references>
      </pivotArea>
    </chartFormat>
    <chartFormat chart="10" format="51">
      <pivotArea type="data" outline="0" fieldPosition="0">
        <references count="2">
          <reference field="4294967294" count="1" selected="0">
            <x v="0"/>
          </reference>
          <reference field="3" count="1" selected="0">
            <x v="2"/>
          </reference>
        </references>
      </pivotArea>
    </chartFormat>
    <chartFormat chart="10" format="52">
      <pivotArea type="data" outline="0" fieldPosition="0">
        <references count="2">
          <reference field="4294967294" count="1" selected="0">
            <x v="0"/>
          </reference>
          <reference field="3" count="1" selected="0">
            <x v="3"/>
          </reference>
        </references>
      </pivotArea>
    </chartFormat>
    <chartFormat chart="10" format="53">
      <pivotArea type="data" outline="0" fieldPosition="0">
        <references count="2">
          <reference field="4294967294" count="1" selected="0">
            <x v="0"/>
          </reference>
          <reference field="3" count="1" selected="0">
            <x v="4"/>
          </reference>
        </references>
      </pivotArea>
    </chartFormat>
    <chartFormat chart="10" format="54">
      <pivotArea type="data" outline="0" fieldPosition="0">
        <references count="2">
          <reference field="4294967294" count="1" selected="0">
            <x v="0"/>
          </reference>
          <reference field="3" count="1" selected="0">
            <x v="5"/>
          </reference>
        </references>
      </pivotArea>
    </chartFormat>
    <chartFormat chart="10" format="55">
      <pivotArea type="data" outline="0" fieldPosition="0">
        <references count="2">
          <reference field="4294967294" count="1" selected="0">
            <x v="0"/>
          </reference>
          <reference field="3" count="1" selected="0">
            <x v="6"/>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FC4B5-33F4-4F18-8217-572F7C91553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4:J8" firstHeaderRow="1" firstDataRow="1" firstDataCol="1"/>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dataField="1" showAll="0">
      <items count="8">
        <item x="5"/>
        <item x="0"/>
        <item x="1"/>
        <item x="4"/>
        <item x="6"/>
        <item x="2"/>
        <item x="3"/>
        <item t="default"/>
      </items>
    </pivotField>
    <pivotField showAll="0"/>
    <pivotField showAll="0"/>
    <pivotField showAll="0"/>
    <pivotField showAll="0"/>
    <pivotField showAll="0">
      <items count="6">
        <item x="4"/>
        <item x="2"/>
        <item x="0"/>
        <item x="3"/>
        <item x="1"/>
        <item t="default"/>
      </items>
    </pivotField>
    <pivotField showAll="0"/>
    <pivotField axis="axisRow" showAll="0">
      <items count="4">
        <item x="1"/>
        <item x="2"/>
        <item x="0"/>
        <item t="default"/>
      </items>
    </pivotField>
    <pivotField showAll="0"/>
    <pivotField showAll="0">
      <items count="6">
        <item x="2"/>
        <item x="3"/>
        <item x="4"/>
        <item x="0"/>
        <item x="1"/>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Count of Product" fld="3"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F4835-183E-4503-A853-DC1493F352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4:M25" firstHeaderRow="0" firstDataRow="1" firstDataCol="0"/>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dataField="1" showAll="0">
      <items count="8">
        <item x="5"/>
        <item x="0"/>
        <item x="1"/>
        <item x="4"/>
        <item x="6"/>
        <item x="2"/>
        <item x="3"/>
        <item t="default"/>
      </items>
    </pivotField>
    <pivotField showAll="0"/>
    <pivotField showAll="0"/>
    <pivotField dataField="1"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Average of Discount" fld="6" subtotal="average" baseField="0" baseItem="0"/>
    <dataField name="Count of Product" fld="3" subtotal="count" baseField="0" baseItem="1"/>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AFF94-B7F2-427A-8664-75EBA25FF8B1}" name="Productwise 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11" firstHeaderRow="1" firstDataRow="1" firstDataCol="1"/>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5"/>
        <item x="0"/>
        <item x="1"/>
        <item x="4"/>
        <item x="6"/>
        <item x="2"/>
        <item x="3"/>
        <item t="default"/>
      </items>
    </pivotField>
    <pivotField dataField="1" showAll="0"/>
    <pivotField showAll="0"/>
    <pivotField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Quantity" fld="4" baseField="0" baseItem="0"/>
  </dataFields>
  <chartFormats count="1">
    <chartFormat chart="9" format="6"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0035BB-CBB8-46AC-886D-DFF526395377}" name="payment modewise avg dis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5:I21" firstHeaderRow="1" firstDataRow="1" firstDataCol="1"/>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showAll="0"/>
    <pivotField showAll="0"/>
    <pivotField showAll="0"/>
    <pivotField showAll="0"/>
    <pivotField axis="axisRow" showAll="0">
      <items count="6">
        <item x="4"/>
        <item x="2"/>
        <item x="0"/>
        <item x="3"/>
        <item x="1"/>
        <item t="default"/>
      </items>
    </pivotField>
    <pivotField showAll="0"/>
    <pivotField showAll="0"/>
    <pivotField showAll="0"/>
    <pivotField showAll="0">
      <items count="6">
        <item x="2"/>
        <item x="3"/>
        <item x="4"/>
        <item x="0"/>
        <item x="1"/>
        <item t="default"/>
      </items>
    </pivotField>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Average of Discount Amount" fld="14" subtotal="average" baseField="8" baseItem="0"/>
  </dataFields>
  <formats count="6">
    <format dxfId="61">
      <pivotArea collapsedLevelsAreSubtotals="1" fieldPosition="0">
        <references count="1">
          <reference field="8" count="1">
            <x v="0"/>
          </reference>
        </references>
      </pivotArea>
    </format>
    <format dxfId="60">
      <pivotArea collapsedLevelsAreSubtotals="1" fieldPosition="0">
        <references count="1">
          <reference field="8" count="1">
            <x v="1"/>
          </reference>
        </references>
      </pivotArea>
    </format>
    <format dxfId="59">
      <pivotArea collapsedLevelsAreSubtotals="1" fieldPosition="0">
        <references count="1">
          <reference field="8" count="1">
            <x v="2"/>
          </reference>
        </references>
      </pivotArea>
    </format>
    <format dxfId="58">
      <pivotArea collapsedLevelsAreSubtotals="1" fieldPosition="0">
        <references count="1">
          <reference field="8" count="1">
            <x v="3"/>
          </reference>
        </references>
      </pivotArea>
    </format>
    <format dxfId="57">
      <pivotArea collapsedLevelsAreSubtotals="1" fieldPosition="0">
        <references count="1">
          <reference field="8" count="1">
            <x v="4"/>
          </reference>
        </references>
      </pivotArea>
    </format>
    <format dxfId="56">
      <pivotArea grandRow="1" outline="0" collapsedLevelsAreSubtotals="1"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4B1AA5-759E-44FF-A5B8-DD0F7821967F}" name="Referalwise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B22" firstHeaderRow="1" firstDataRow="1" firstDataCol="1"/>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axis="axisRow" showAll="0">
      <items count="6">
        <item x="2"/>
        <item x="3"/>
        <item x="4"/>
        <item x="0"/>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 Price" fld="13" baseField="0" baseItem="0"/>
  </dataFields>
  <formats count="6">
    <format dxfId="67">
      <pivotArea collapsedLevelsAreSubtotals="1" fieldPosition="0">
        <references count="1">
          <reference field="12" count="1">
            <x v="0"/>
          </reference>
        </references>
      </pivotArea>
    </format>
    <format dxfId="66">
      <pivotArea collapsedLevelsAreSubtotals="1" fieldPosition="0">
        <references count="1">
          <reference field="12" count="1">
            <x v="1"/>
          </reference>
        </references>
      </pivotArea>
    </format>
    <format dxfId="65">
      <pivotArea collapsedLevelsAreSubtotals="1" fieldPosition="0">
        <references count="1">
          <reference field="12" count="1">
            <x v="2"/>
          </reference>
        </references>
      </pivotArea>
    </format>
    <format dxfId="64">
      <pivotArea collapsedLevelsAreSubtotals="1" fieldPosition="0">
        <references count="1">
          <reference field="12" count="1">
            <x v="3"/>
          </reference>
        </references>
      </pivotArea>
    </format>
    <format dxfId="63">
      <pivotArea collapsedLevelsAreSubtotals="1" fieldPosition="0">
        <references count="1">
          <reference field="12" count="1">
            <x v="4"/>
          </reference>
        </references>
      </pivotArea>
    </format>
    <format dxfId="6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CCC4E5-7300-4307-BF22-C025886925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4:N25" firstHeaderRow="1" firstDataRow="1" firstDataCol="0"/>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showAll="0">
      <items count="6">
        <item x="2"/>
        <item x="3"/>
        <item x="4"/>
        <item x="0"/>
        <item x="1"/>
        <item t="default"/>
      </items>
    </pivotField>
    <pivotField showAll="0"/>
    <pivotField showAll="0"/>
    <pivotField dataFiel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Net Price" fld="15"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8FE80E-694D-470A-85C0-9F0CB5D02306}" name="Payment modewise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7:B33" firstHeaderRow="1" firstDataRow="1" firstDataCol="1"/>
  <pivotFields count="19">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5"/>
        <item x="0"/>
        <item x="1"/>
        <item x="4"/>
        <item x="6"/>
        <item x="2"/>
        <item x="3"/>
        <item t="default"/>
      </items>
    </pivotField>
    <pivotField showAll="0"/>
    <pivotField showAll="0"/>
    <pivotField showAll="0"/>
    <pivotField showAll="0"/>
    <pivotField axis="axisRow" showAll="0">
      <items count="6">
        <item x="4"/>
        <item x="2"/>
        <item x="0"/>
        <item x="3"/>
        <item x="1"/>
        <item t="default"/>
      </items>
    </pivotField>
    <pivotField showAll="0"/>
    <pivotField showAll="0"/>
    <pivotField showAll="0"/>
    <pivotField showAll="0">
      <items count="6">
        <item x="2"/>
        <item x="3"/>
        <item x="4"/>
        <item x="0"/>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Total Price" fld="13" baseField="0" baseItem="0"/>
  </dataFields>
  <formats count="6">
    <format dxfId="73">
      <pivotArea collapsedLevelsAreSubtotals="1" fieldPosition="0">
        <references count="1">
          <reference field="8" count="1">
            <x v="0"/>
          </reference>
        </references>
      </pivotArea>
    </format>
    <format dxfId="72">
      <pivotArea collapsedLevelsAreSubtotals="1" fieldPosition="0">
        <references count="1">
          <reference field="8" count="1">
            <x v="1"/>
          </reference>
        </references>
      </pivotArea>
    </format>
    <format dxfId="71">
      <pivotArea collapsedLevelsAreSubtotals="1" fieldPosition="0">
        <references count="1">
          <reference field="8" count="1">
            <x v="2"/>
          </reference>
        </references>
      </pivotArea>
    </format>
    <format dxfId="70">
      <pivotArea collapsedLevelsAreSubtotals="1" fieldPosition="0">
        <references count="1">
          <reference field="8" count="1">
            <x v="3"/>
          </reference>
        </references>
      </pivotArea>
    </format>
    <format dxfId="69">
      <pivotArea collapsedLevelsAreSubtotals="1" fieldPosition="0">
        <references count="1">
          <reference field="8" count="1">
            <x v="4"/>
          </reference>
        </references>
      </pivotArea>
    </format>
    <format dxfId="68">
      <pivotArea grandRow="1"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8" count="1" selected="0">
            <x v="0"/>
          </reference>
        </references>
      </pivotArea>
    </chartFormat>
    <chartFormat chart="24" format="3">
      <pivotArea type="data" outline="0" fieldPosition="0">
        <references count="2">
          <reference field="4294967294" count="1" selected="0">
            <x v="0"/>
          </reference>
          <reference field="8" count="1" selected="0">
            <x v="1"/>
          </reference>
        </references>
      </pivotArea>
    </chartFormat>
    <chartFormat chart="24" format="4">
      <pivotArea type="data" outline="0" fieldPosition="0">
        <references count="2">
          <reference field="4294967294" count="1" selected="0">
            <x v="0"/>
          </reference>
          <reference field="8" count="1" selected="0">
            <x v="2"/>
          </reference>
        </references>
      </pivotArea>
    </chartFormat>
    <chartFormat chart="24" format="5">
      <pivotArea type="data" outline="0" fieldPosition="0">
        <references count="2">
          <reference field="4294967294" count="1" selected="0">
            <x v="0"/>
          </reference>
          <reference field="8" count="1" selected="0">
            <x v="3"/>
          </reference>
        </references>
      </pivotArea>
    </chartFormat>
    <chartFormat chart="24" format="6">
      <pivotArea type="data" outline="0" fieldPosition="0">
        <references count="2">
          <reference field="4294967294" count="1" selected="0">
            <x v="0"/>
          </reference>
          <reference field="8" count="1" selected="0">
            <x v="4"/>
          </reference>
        </references>
      </pivotArea>
    </chartFormat>
    <chartFormat chart="28" format="19" series="1">
      <pivotArea type="data" outline="0" fieldPosition="0">
        <references count="1">
          <reference field="4294967294" count="1" selected="0">
            <x v="0"/>
          </reference>
        </references>
      </pivotArea>
    </chartFormat>
    <chartFormat chart="28" format="20">
      <pivotArea type="data" outline="0" fieldPosition="0">
        <references count="2">
          <reference field="4294967294" count="1" selected="0">
            <x v="0"/>
          </reference>
          <reference field="8" count="1" selected="0">
            <x v="0"/>
          </reference>
        </references>
      </pivotArea>
    </chartFormat>
    <chartFormat chart="28" format="21">
      <pivotArea type="data" outline="0" fieldPosition="0">
        <references count="2">
          <reference field="4294967294" count="1" selected="0">
            <x v="0"/>
          </reference>
          <reference field="8" count="1" selected="0">
            <x v="1"/>
          </reference>
        </references>
      </pivotArea>
    </chartFormat>
    <chartFormat chart="28" format="22">
      <pivotArea type="data" outline="0" fieldPosition="0">
        <references count="2">
          <reference field="4294967294" count="1" selected="0">
            <x v="0"/>
          </reference>
          <reference field="8" count="1" selected="0">
            <x v="2"/>
          </reference>
        </references>
      </pivotArea>
    </chartFormat>
    <chartFormat chart="28" format="23">
      <pivotArea type="data" outline="0" fieldPosition="0">
        <references count="2">
          <reference field="4294967294" count="1" selected="0">
            <x v="0"/>
          </reference>
          <reference field="8" count="1" selected="0">
            <x v="3"/>
          </reference>
        </references>
      </pivotArea>
    </chartFormat>
    <chartFormat chart="28" format="24">
      <pivotArea type="data" outline="0" fieldPosition="0">
        <references count="2">
          <reference field="4294967294" count="1" selected="0">
            <x v="0"/>
          </reference>
          <reference field="8" count="1" selected="0">
            <x v="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C22513-59DF-4C77-B872-690E9638023F}" sourceName="Product">
  <pivotTables>
    <pivotTable tabId="4" name="Referalwise total sales"/>
    <pivotTable tabId="4" name="payment modewise avg disc."/>
    <pivotTable tabId="4" name="Payment modewise total sales"/>
    <pivotTable tabId="4" name="PivotTable4"/>
    <pivotTable tabId="4" name="PivotTable5"/>
    <pivotTable tabId="4" name="PivotTable6"/>
    <pivotTable tabId="4" name="Yearwise total sales"/>
    <pivotTable tabId="4" name="PivotTable2"/>
    <pivotTable tabId="4" name="PivotTable8"/>
  </pivotTables>
  <data>
    <tabular pivotCacheId="2109192693">
      <items count="7">
        <i x="5" s="1"/>
        <i x="0" s="1"/>
        <i x="1" s="1"/>
        <i x="4"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4E6C65D1-B124-443C-A8AC-4C35F7516E51}" sourceName="ReferralSource">
  <pivotTables>
    <pivotTable tabId="4" name="Productwise total price"/>
    <pivotTable tabId="4" name="payment modewise avg disc."/>
    <pivotTable tabId="4" name="Payment modewise total sales"/>
    <pivotTable tabId="4" name="PivotTable4"/>
    <pivotTable tabId="4" name="PivotTable5"/>
    <pivotTable tabId="4" name="PivotTable6"/>
    <pivotTable tabId="4" name="Productwise total quantity"/>
    <pivotTable tabId="4" name="Yearwise total sales"/>
    <pivotTable tabId="4" name="PivotTable2"/>
    <pivotTable tabId="4" name="PivotTable8"/>
  </pivotTables>
  <data>
    <tabular pivotCacheId="2109192693">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15846C2-0280-436B-AC13-95705A3AB0D3}" sourceName="PaymentMethod">
  <pivotTables>
    <pivotTable tabId="4" name="Productwise total quantity"/>
    <pivotTable tabId="4" name="PivotTable4"/>
    <pivotTable tabId="4" name="PivotTable5"/>
    <pivotTable tabId="4" name="PivotTable6"/>
    <pivotTable tabId="4" name="Productwise total price"/>
    <pivotTable tabId="4" name="Referalwise total sales"/>
    <pivotTable tabId="4" name="Yearwise total sales"/>
    <pivotTable tabId="4" name="PivotTable2"/>
    <pivotTable tabId="4" name="PivotTable8"/>
  </pivotTables>
  <data>
    <tabular pivotCacheId="2109192693">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2444402-1253-4145-B579-E8AD0205283F}" cache="Slicer_Product" caption="Product" style="SlicerStyleDark2 2" rowHeight="234950"/>
  <slicer name="ReferralSource" xr10:uid="{C3B6F69E-A208-495D-9868-997B06EC18F3}" cache="Slicer_ReferralSource" caption="ReferralSource" style="SlicerStyleDark2 2" rowHeight="234950"/>
  <slicer name="PaymentMethod" xr10:uid="{60148DE7-F505-448A-932E-047324A6FF0C}" cache="Slicer_PaymentMethod" caption="PaymentMethod"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201" totalsRowShown="0" headerRowDxfId="84" headerRowBorderDxfId="83" tableBorderDxfId="82">
  <autoFilter ref="A1:O1201" xr:uid="{00000000-0009-0000-0100-000001000000}"/>
  <tableColumns count="15">
    <tableColumn id="1" xr3:uid="{00000000-0010-0000-0000-000001000000}" name="OrderID"/>
    <tableColumn id="2" xr3:uid="{00000000-0010-0000-0000-000002000000}" name="Date" dataDxfId="81"/>
    <tableColumn id="3" xr3:uid="{00000000-0010-0000-0000-000003000000}" name="CustomerID"/>
    <tableColumn id="4" xr3:uid="{00000000-0010-0000-0000-000004000000}" name="Product"/>
    <tableColumn id="5" xr3:uid="{39C2E3A5-36F5-4A3B-AD9F-BD595F3C9EFD}" name="Quantity" dataDxfId="80"/>
    <tableColumn id="6" xr3:uid="{00000000-0010-0000-0000-000006000000}" name="UnitPrice" dataDxfId="79">
      <calculatedColumnFormula>#REF!/#REF!</calculatedColumnFormula>
    </tableColumn>
    <tableColumn id="16" xr3:uid="{3FDBAF8D-D9B4-48BF-860D-FBDE835BA7D4}" name="Discount" dataDxfId="78"/>
    <tableColumn id="8" xr3:uid="{00000000-0010-0000-0000-000008000000}" name="PaymentMethod"/>
    <tableColumn id="10" xr3:uid="{00000000-0010-0000-0000-00000A000000}" name="TrackingNumber"/>
    <tableColumn id="12" xr3:uid="{E4863A8D-4B4F-4C3B-96F1-29178C300873}" name="Order Status" dataDxfId="77"/>
    <tableColumn id="11" xr3:uid="{00000000-0010-0000-0000-00000B000000}" name="ItemsInCart"/>
    <tableColumn id="13" xr3:uid="{00000000-0010-0000-0000-00000D000000}" name="ReferralSource"/>
    <tableColumn id="15" xr3:uid="{1CBCA95F-C704-4F45-BC99-CCCE0B917B02}" name="Total Price" dataDxfId="76">
      <calculatedColumnFormula>Table1[[#This Row],[UnitPrice]]*Table1[[#This Row],[Quantity]]</calculatedColumnFormula>
    </tableColumn>
    <tableColumn id="14" xr3:uid="{4D7A6275-0A91-48E2-9210-7A52FCD8B65E}" name="Discount Amount" dataDxfId="75">
      <calculatedColumnFormula>Table1[[#This Row],[Total Price]]*Table1[[#This Row],[Discount]]</calculatedColumnFormula>
    </tableColumn>
    <tableColumn id="17" xr3:uid="{4E798C9A-1D2D-4FB8-BB74-72D0B904842C}" name="Net Price" dataDxfId="74">
      <calculatedColumnFormula>Table1[[#This Row],[Total Price]]-Table1[[#This Row],[Discount Amount]]</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201"/>
  <sheetViews>
    <sheetView topLeftCell="I1" zoomScale="78" workbookViewId="0">
      <selection activeCell="S21" sqref="S21"/>
    </sheetView>
  </sheetViews>
  <sheetFormatPr defaultRowHeight="14.4" x14ac:dyDescent="0.3"/>
  <cols>
    <col min="1" max="1" width="13.6640625" customWidth="1"/>
    <col min="2" max="2" width="13.44140625" customWidth="1"/>
    <col min="3" max="3" width="16.21875" customWidth="1"/>
    <col min="4" max="5" width="13.21875" customWidth="1"/>
    <col min="6" max="6" width="12.6640625" customWidth="1"/>
    <col min="7" max="7" width="14.33203125" customWidth="1"/>
    <col min="8" max="8" width="17.77734375" customWidth="1"/>
    <col min="9" max="9" width="18" customWidth="1"/>
    <col min="10" max="11" width="19.21875" customWidth="1"/>
    <col min="12" max="12" width="19.88671875" customWidth="1"/>
    <col min="13" max="13" width="15.44140625" customWidth="1"/>
    <col min="14" max="14" width="19.21875" customWidth="1"/>
    <col min="15" max="16" width="15.88671875" customWidth="1"/>
    <col min="17" max="17" width="27.5546875" customWidth="1"/>
    <col min="18" max="18" width="26.6640625" customWidth="1"/>
    <col min="19" max="19" width="22.5546875" customWidth="1"/>
    <col min="20" max="20" width="21.77734375" customWidth="1"/>
    <col min="21" max="21" width="16.33203125" customWidth="1"/>
    <col min="22" max="22" width="19.44140625" customWidth="1"/>
    <col min="23" max="23" width="21.5546875" customWidth="1"/>
    <col min="24" max="24" width="15.21875" customWidth="1"/>
    <col min="25" max="25" width="22.77734375" customWidth="1"/>
    <col min="26" max="26" width="21.88671875" customWidth="1"/>
    <col min="34" max="34" width="28.77734375" customWidth="1"/>
  </cols>
  <sheetData>
    <row r="1" spans="1:25" x14ac:dyDescent="0.3">
      <c r="A1" s="2" t="s">
        <v>0</v>
      </c>
      <c r="B1" s="2" t="s">
        <v>1</v>
      </c>
      <c r="C1" s="2" t="s">
        <v>2</v>
      </c>
      <c r="D1" s="2" t="s">
        <v>3</v>
      </c>
      <c r="E1" s="2" t="s">
        <v>4</v>
      </c>
      <c r="F1" s="2" t="s">
        <v>5</v>
      </c>
      <c r="G1" s="2" t="s">
        <v>3632</v>
      </c>
      <c r="H1" s="2" t="s">
        <v>6</v>
      </c>
      <c r="I1" s="2" t="s">
        <v>7</v>
      </c>
      <c r="J1" s="2" t="s">
        <v>3638</v>
      </c>
      <c r="K1" s="2" t="s">
        <v>8</v>
      </c>
      <c r="L1" s="2" t="s">
        <v>9</v>
      </c>
      <c r="M1" s="2" t="s">
        <v>3631</v>
      </c>
      <c r="N1" s="2" t="s">
        <v>3633</v>
      </c>
      <c r="O1" s="2" t="s">
        <v>3634</v>
      </c>
      <c r="P1" s="6"/>
    </row>
    <row r="2" spans="1:25" x14ac:dyDescent="0.3">
      <c r="A2" t="s">
        <v>10</v>
      </c>
      <c r="B2" s="1">
        <v>44930</v>
      </c>
      <c r="C2" t="s">
        <v>11</v>
      </c>
      <c r="D2" t="s">
        <v>12</v>
      </c>
      <c r="E2">
        <v>1</v>
      </c>
      <c r="F2">
        <v>8576</v>
      </c>
      <c r="G2" s="20">
        <v>0.31</v>
      </c>
      <c r="H2" t="s">
        <v>13</v>
      </c>
      <c r="I2" t="s">
        <v>15</v>
      </c>
      <c r="J2" s="13" t="s">
        <v>14</v>
      </c>
      <c r="K2">
        <v>7</v>
      </c>
      <c r="L2" t="s">
        <v>16</v>
      </c>
      <c r="M2">
        <f>Table1[[#This Row],[UnitPrice]]*Table1[[#This Row],[Quantity]]</f>
        <v>8576</v>
      </c>
      <c r="N2">
        <f>Table1[[#This Row],[Total Price]]*Table1[[#This Row],[Discount]]</f>
        <v>2658.56</v>
      </c>
      <c r="O2">
        <f>Table1[[#This Row],[Total Price]]-Table1[[#This Row],[Discount Amount]]</f>
        <v>5917.4400000000005</v>
      </c>
    </row>
    <row r="3" spans="1:25" x14ac:dyDescent="0.3">
      <c r="A3" t="s">
        <v>17</v>
      </c>
      <c r="B3" s="1">
        <v>45527</v>
      </c>
      <c r="C3" t="s">
        <v>18</v>
      </c>
      <c r="D3" t="s">
        <v>19</v>
      </c>
      <c r="E3">
        <v>2</v>
      </c>
      <c r="F3">
        <v>44978</v>
      </c>
      <c r="G3" s="9">
        <v>0.38</v>
      </c>
      <c r="H3" t="s">
        <v>20</v>
      </c>
      <c r="I3" t="s">
        <v>21</v>
      </c>
      <c r="J3" s="14" t="s">
        <v>14</v>
      </c>
      <c r="K3">
        <v>3</v>
      </c>
      <c r="L3" t="s">
        <v>22</v>
      </c>
      <c r="M3">
        <f>Table1[[#This Row],[UnitPrice]]*Table1[[#This Row],[Quantity]]</f>
        <v>89956</v>
      </c>
      <c r="N3">
        <f>Table1[[#This Row],[Total Price]]*Table1[[#This Row],[Discount]]</f>
        <v>34183.279999999999</v>
      </c>
      <c r="O3">
        <f>Table1[[#This Row],[Total Price]]-Table1[[#This Row],[Discount Amount]]</f>
        <v>55772.72</v>
      </c>
    </row>
    <row r="4" spans="1:25" x14ac:dyDescent="0.3">
      <c r="A4" t="s">
        <v>23</v>
      </c>
      <c r="B4" s="1">
        <v>45349</v>
      </c>
      <c r="C4" t="s">
        <v>24</v>
      </c>
      <c r="D4" t="s">
        <v>25</v>
      </c>
      <c r="E4">
        <v>2</v>
      </c>
      <c r="F4">
        <v>4847</v>
      </c>
      <c r="G4" s="9">
        <v>0.1</v>
      </c>
      <c r="H4" t="s">
        <v>26</v>
      </c>
      <c r="I4" t="s">
        <v>27</v>
      </c>
      <c r="J4" s="13" t="s">
        <v>14</v>
      </c>
      <c r="K4">
        <v>8</v>
      </c>
      <c r="L4" t="s">
        <v>28</v>
      </c>
      <c r="M4">
        <f>Table1[[#This Row],[UnitPrice]]*Table1[[#This Row],[Quantity]]</f>
        <v>9694</v>
      </c>
      <c r="N4">
        <f>Table1[[#This Row],[Total Price]]*Table1[[#This Row],[Discount]]</f>
        <v>969.40000000000009</v>
      </c>
      <c r="O4">
        <f>Table1[[#This Row],[Total Price]]-Table1[[#This Row],[Discount Amount]]</f>
        <v>8724.6</v>
      </c>
    </row>
    <row r="5" spans="1:25" x14ac:dyDescent="0.3">
      <c r="A5" t="s">
        <v>29</v>
      </c>
      <c r="B5" s="1">
        <v>45214</v>
      </c>
      <c r="C5" t="s">
        <v>30</v>
      </c>
      <c r="D5" t="s">
        <v>31</v>
      </c>
      <c r="E5">
        <v>1</v>
      </c>
      <c r="F5">
        <v>24095</v>
      </c>
      <c r="G5" s="9">
        <v>0.27</v>
      </c>
      <c r="H5" t="s">
        <v>13</v>
      </c>
      <c r="I5" t="s">
        <v>32</v>
      </c>
      <c r="J5" s="14" t="s">
        <v>37</v>
      </c>
      <c r="K5">
        <v>5</v>
      </c>
      <c r="L5" t="s">
        <v>33</v>
      </c>
      <c r="M5">
        <f>Table1[[#This Row],[UnitPrice]]*Table1[[#This Row],[Quantity]]</f>
        <v>24095</v>
      </c>
      <c r="N5">
        <f>Table1[[#This Row],[Total Price]]*Table1[[#This Row],[Discount]]</f>
        <v>6505.6500000000005</v>
      </c>
      <c r="O5">
        <f>Table1[[#This Row],[Total Price]]-Table1[[#This Row],[Discount Amount]]</f>
        <v>17589.349999999999</v>
      </c>
    </row>
    <row r="6" spans="1:25" x14ac:dyDescent="0.3">
      <c r="A6" t="s">
        <v>34</v>
      </c>
      <c r="B6" s="1">
        <v>45785</v>
      </c>
      <c r="C6" t="s">
        <v>35</v>
      </c>
      <c r="D6" t="s">
        <v>36</v>
      </c>
      <c r="E6">
        <v>1</v>
      </c>
      <c r="F6">
        <v>8570</v>
      </c>
      <c r="G6" s="9">
        <v>0</v>
      </c>
      <c r="H6" t="s">
        <v>20</v>
      </c>
      <c r="I6" t="s">
        <v>38</v>
      </c>
      <c r="J6" s="13" t="s">
        <v>37</v>
      </c>
      <c r="K6">
        <v>8</v>
      </c>
      <c r="L6" t="s">
        <v>28</v>
      </c>
      <c r="M6">
        <f>Table1[[#This Row],[UnitPrice]]*Table1[[#This Row],[Quantity]]</f>
        <v>8570</v>
      </c>
      <c r="N6">
        <f>Table1[[#This Row],[Total Price]]*Table1[[#This Row],[Discount]]</f>
        <v>0</v>
      </c>
      <c r="O6">
        <f>Table1[[#This Row],[Total Price]]-Table1[[#This Row],[Discount Amount]]</f>
        <v>8570</v>
      </c>
    </row>
    <row r="7" spans="1:25" x14ac:dyDescent="0.3">
      <c r="A7" t="s">
        <v>39</v>
      </c>
      <c r="B7" s="1">
        <v>45222</v>
      </c>
      <c r="C7" t="s">
        <v>40</v>
      </c>
      <c r="D7" t="s">
        <v>19</v>
      </c>
      <c r="E7">
        <v>3</v>
      </c>
      <c r="F7">
        <v>31675</v>
      </c>
      <c r="G7" s="9">
        <v>0.02</v>
      </c>
      <c r="H7" t="s">
        <v>26</v>
      </c>
      <c r="I7" t="s">
        <v>41</v>
      </c>
      <c r="J7" s="14" t="s">
        <v>14</v>
      </c>
      <c r="K7">
        <v>4</v>
      </c>
      <c r="L7" t="s">
        <v>16</v>
      </c>
      <c r="M7">
        <f>Table1[[#This Row],[UnitPrice]]*Table1[[#This Row],[Quantity]]</f>
        <v>95025</v>
      </c>
      <c r="N7">
        <f>Table1[[#This Row],[Total Price]]*Table1[[#This Row],[Discount]]</f>
        <v>1900.5</v>
      </c>
      <c r="O7">
        <f>Table1[[#This Row],[Total Price]]-Table1[[#This Row],[Discount Amount]]</f>
        <v>93124.5</v>
      </c>
    </row>
    <row r="8" spans="1:25" x14ac:dyDescent="0.3">
      <c r="A8" t="s">
        <v>42</v>
      </c>
      <c r="B8" s="1">
        <v>45825</v>
      </c>
      <c r="C8" t="s">
        <v>43</v>
      </c>
      <c r="D8" t="s">
        <v>44</v>
      </c>
      <c r="E8">
        <v>2</v>
      </c>
      <c r="F8">
        <v>79896</v>
      </c>
      <c r="G8" s="9">
        <v>0.16</v>
      </c>
      <c r="H8" t="s">
        <v>45</v>
      </c>
      <c r="I8" t="s">
        <v>46</v>
      </c>
      <c r="J8" s="13" t="s">
        <v>73</v>
      </c>
      <c r="K8">
        <v>6</v>
      </c>
      <c r="L8" t="s">
        <v>33</v>
      </c>
      <c r="M8">
        <f>Table1[[#This Row],[UnitPrice]]*Table1[[#This Row],[Quantity]]</f>
        <v>159792</v>
      </c>
      <c r="N8">
        <f>Table1[[#This Row],[Total Price]]*Table1[[#This Row],[Discount]]</f>
        <v>25566.720000000001</v>
      </c>
      <c r="O8">
        <f>Table1[[#This Row],[Total Price]]-Table1[[#This Row],[Discount Amount]]</f>
        <v>134225.28</v>
      </c>
      <c r="Q8" s="11" t="s">
        <v>47</v>
      </c>
    </row>
    <row r="9" spans="1:25" x14ac:dyDescent="0.3">
      <c r="A9" t="s">
        <v>48</v>
      </c>
      <c r="B9" s="1">
        <v>45058</v>
      </c>
      <c r="C9" t="s">
        <v>49</v>
      </c>
      <c r="D9" t="s">
        <v>12</v>
      </c>
      <c r="E9">
        <v>3</v>
      </c>
      <c r="F9">
        <v>9326</v>
      </c>
      <c r="G9" s="9">
        <v>0.23</v>
      </c>
      <c r="H9" t="s">
        <v>50</v>
      </c>
      <c r="I9" t="s">
        <v>51</v>
      </c>
      <c r="J9" s="14" t="s">
        <v>14</v>
      </c>
      <c r="K9">
        <v>9</v>
      </c>
      <c r="L9" t="s">
        <v>33</v>
      </c>
      <c r="M9">
        <f>Table1[[#This Row],[UnitPrice]]*Table1[[#This Row],[Quantity]]</f>
        <v>27978</v>
      </c>
      <c r="N9">
        <f>Table1[[#This Row],[Total Price]]*Table1[[#This Row],[Discount]]</f>
        <v>6434.9400000000005</v>
      </c>
      <c r="O9">
        <f>Table1[[#This Row],[Total Price]]-Table1[[#This Row],[Discount Amount]]</f>
        <v>21543.059999999998</v>
      </c>
      <c r="Q9" s="7">
        <f>SUM(Table1[Total Price])</f>
        <v>47759684</v>
      </c>
    </row>
    <row r="10" spans="1:25" x14ac:dyDescent="0.3">
      <c r="A10" t="s">
        <v>52</v>
      </c>
      <c r="B10" s="1">
        <v>45749</v>
      </c>
      <c r="C10" t="s">
        <v>53</v>
      </c>
      <c r="D10" t="s">
        <v>19</v>
      </c>
      <c r="E10">
        <v>3</v>
      </c>
      <c r="F10">
        <v>35294</v>
      </c>
      <c r="G10" s="9">
        <v>0.28999999999999998</v>
      </c>
      <c r="H10" t="s">
        <v>45</v>
      </c>
      <c r="I10" t="s">
        <v>54</v>
      </c>
      <c r="J10" s="13" t="s">
        <v>37</v>
      </c>
      <c r="K10">
        <v>2</v>
      </c>
      <c r="L10" t="s">
        <v>28</v>
      </c>
      <c r="M10">
        <f>Table1[[#This Row],[UnitPrice]]*Table1[[#This Row],[Quantity]]</f>
        <v>105882</v>
      </c>
      <c r="N10">
        <f>Table1[[#This Row],[Total Price]]*Table1[[#This Row],[Discount]]</f>
        <v>30705.78</v>
      </c>
      <c r="O10">
        <f>Table1[[#This Row],[Total Price]]-Table1[[#This Row],[Discount Amount]]</f>
        <v>75176.22</v>
      </c>
      <c r="Y10" t="s">
        <v>55</v>
      </c>
    </row>
    <row r="11" spans="1:25" x14ac:dyDescent="0.3">
      <c r="A11" t="s">
        <v>56</v>
      </c>
      <c r="B11" s="1">
        <v>45251</v>
      </c>
      <c r="C11" t="s">
        <v>57</v>
      </c>
      <c r="D11" t="s">
        <v>58</v>
      </c>
      <c r="E11">
        <v>3</v>
      </c>
      <c r="F11">
        <v>7273</v>
      </c>
      <c r="G11" s="20">
        <v>0.44</v>
      </c>
      <c r="H11" t="s">
        <v>26</v>
      </c>
      <c r="I11" t="s">
        <v>59</v>
      </c>
      <c r="J11" s="14" t="s">
        <v>14</v>
      </c>
      <c r="K11">
        <v>6</v>
      </c>
      <c r="L11" t="s">
        <v>60</v>
      </c>
      <c r="M11">
        <f>Table1[[#This Row],[UnitPrice]]*Table1[[#This Row],[Quantity]]</f>
        <v>21819</v>
      </c>
      <c r="N11">
        <f>Table1[[#This Row],[Total Price]]*Table1[[#This Row],[Discount]]</f>
        <v>9600.36</v>
      </c>
      <c r="O11">
        <f>Table1[[#This Row],[Total Price]]-Table1[[#This Row],[Discount Amount]]</f>
        <v>12218.64</v>
      </c>
      <c r="Y11" t="s">
        <v>61</v>
      </c>
    </row>
    <row r="12" spans="1:25" x14ac:dyDescent="0.3">
      <c r="A12" t="s">
        <v>62</v>
      </c>
      <c r="B12" s="1">
        <v>45289</v>
      </c>
      <c r="C12" t="s">
        <v>63</v>
      </c>
      <c r="D12" t="s">
        <v>25</v>
      </c>
      <c r="E12">
        <v>2</v>
      </c>
      <c r="F12">
        <v>5055</v>
      </c>
      <c r="G12" s="9">
        <v>0.39</v>
      </c>
      <c r="H12" t="s">
        <v>26</v>
      </c>
      <c r="I12" t="s">
        <v>64</v>
      </c>
      <c r="J12" s="13" t="s">
        <v>73</v>
      </c>
      <c r="K12">
        <v>9</v>
      </c>
      <c r="L12" t="s">
        <v>16</v>
      </c>
      <c r="M12">
        <f>Table1[[#This Row],[UnitPrice]]*Table1[[#This Row],[Quantity]]</f>
        <v>10110</v>
      </c>
      <c r="N12">
        <f>Table1[[#This Row],[Total Price]]*Table1[[#This Row],[Discount]]</f>
        <v>3942.9</v>
      </c>
      <c r="O12">
        <f>Table1[[#This Row],[Total Price]]-Table1[[#This Row],[Discount Amount]]</f>
        <v>6167.1</v>
      </c>
      <c r="Q12" s="11" t="s">
        <v>65</v>
      </c>
      <c r="Y12" t="s">
        <v>66</v>
      </c>
    </row>
    <row r="13" spans="1:25" x14ac:dyDescent="0.3">
      <c r="A13" t="s">
        <v>67</v>
      </c>
      <c r="B13" s="1">
        <v>45339</v>
      </c>
      <c r="C13" t="s">
        <v>68</v>
      </c>
      <c r="D13" t="s">
        <v>12</v>
      </c>
      <c r="E13">
        <v>1</v>
      </c>
      <c r="F13">
        <v>4736</v>
      </c>
      <c r="G13" s="9">
        <v>0.15</v>
      </c>
      <c r="H13" t="s">
        <v>20</v>
      </c>
      <c r="I13" t="s">
        <v>69</v>
      </c>
      <c r="J13" s="14" t="s">
        <v>73</v>
      </c>
      <c r="K13">
        <v>7</v>
      </c>
      <c r="L13" t="s">
        <v>28</v>
      </c>
      <c r="M13">
        <f>Table1[[#This Row],[UnitPrice]]*Table1[[#This Row],[Quantity]]</f>
        <v>4736</v>
      </c>
      <c r="N13">
        <f>Table1[[#This Row],[Total Price]]*Table1[[#This Row],[Discount]]</f>
        <v>710.4</v>
      </c>
      <c r="O13">
        <f>Table1[[#This Row],[Total Price]]-Table1[[#This Row],[Discount Amount]]</f>
        <v>4025.6</v>
      </c>
      <c r="Q13" s="3">
        <f>SUM(Table1[Quantity])</f>
        <v>2369</v>
      </c>
      <c r="Y13" t="s">
        <v>70</v>
      </c>
    </row>
    <row r="14" spans="1:25" x14ac:dyDescent="0.3">
      <c r="A14" t="s">
        <v>71</v>
      </c>
      <c r="B14" s="1">
        <v>45580</v>
      </c>
      <c r="C14" t="s">
        <v>72</v>
      </c>
      <c r="D14" t="s">
        <v>12</v>
      </c>
      <c r="E14">
        <v>3</v>
      </c>
      <c r="F14">
        <v>2114</v>
      </c>
      <c r="G14" s="9">
        <v>0.37</v>
      </c>
      <c r="H14" t="s">
        <v>13</v>
      </c>
      <c r="I14" t="s">
        <v>74</v>
      </c>
      <c r="J14" s="13" t="s">
        <v>73</v>
      </c>
      <c r="K14">
        <v>6</v>
      </c>
      <c r="L14" t="s">
        <v>22</v>
      </c>
      <c r="M14">
        <f>Table1[[#This Row],[UnitPrice]]*Table1[[#This Row],[Quantity]]</f>
        <v>6342</v>
      </c>
      <c r="N14">
        <f>Table1[[#This Row],[Total Price]]*Table1[[#This Row],[Discount]]</f>
        <v>2346.54</v>
      </c>
      <c r="O14">
        <f>Table1[[#This Row],[Total Price]]-Table1[[#This Row],[Discount Amount]]</f>
        <v>3995.46</v>
      </c>
      <c r="Y14" t="s">
        <v>75</v>
      </c>
    </row>
    <row r="15" spans="1:25" x14ac:dyDescent="0.3">
      <c r="A15" t="s">
        <v>76</v>
      </c>
      <c r="B15" s="1">
        <v>45168</v>
      </c>
      <c r="C15" t="s">
        <v>77</v>
      </c>
      <c r="D15" t="s">
        <v>44</v>
      </c>
      <c r="E15">
        <v>1</v>
      </c>
      <c r="F15">
        <v>59956</v>
      </c>
      <c r="G15" s="9">
        <v>0.27</v>
      </c>
      <c r="H15" t="s">
        <v>26</v>
      </c>
      <c r="I15" t="s">
        <v>78</v>
      </c>
      <c r="J15" s="14" t="s">
        <v>14</v>
      </c>
      <c r="K15">
        <v>4</v>
      </c>
      <c r="L15" t="s">
        <v>33</v>
      </c>
      <c r="M15">
        <f>Table1[[#This Row],[UnitPrice]]*Table1[[#This Row],[Quantity]]</f>
        <v>59956</v>
      </c>
      <c r="N15">
        <f>Table1[[#This Row],[Total Price]]*Table1[[#This Row],[Discount]]</f>
        <v>16188.12</v>
      </c>
      <c r="O15">
        <f>Table1[[#This Row],[Total Price]]-Table1[[#This Row],[Discount Amount]]</f>
        <v>43767.88</v>
      </c>
    </row>
    <row r="16" spans="1:25" x14ac:dyDescent="0.3">
      <c r="A16" t="s">
        <v>79</v>
      </c>
      <c r="B16" s="1">
        <v>45012</v>
      </c>
      <c r="C16" t="s">
        <v>80</v>
      </c>
      <c r="D16" t="s">
        <v>25</v>
      </c>
      <c r="E16">
        <v>2</v>
      </c>
      <c r="F16">
        <v>19819</v>
      </c>
      <c r="G16" s="9">
        <v>0.39</v>
      </c>
      <c r="H16" t="s">
        <v>13</v>
      </c>
      <c r="I16" t="s">
        <v>81</v>
      </c>
      <c r="J16" s="13" t="s">
        <v>73</v>
      </c>
      <c r="K16">
        <v>3</v>
      </c>
      <c r="L16" t="s">
        <v>16</v>
      </c>
      <c r="M16">
        <f>Table1[[#This Row],[UnitPrice]]*Table1[[#This Row],[Quantity]]</f>
        <v>39638</v>
      </c>
      <c r="N16">
        <f>Table1[[#This Row],[Total Price]]*Table1[[#This Row],[Discount]]</f>
        <v>15458.82</v>
      </c>
      <c r="O16">
        <f>Table1[[#This Row],[Total Price]]-Table1[[#This Row],[Discount Amount]]</f>
        <v>24179.18</v>
      </c>
      <c r="Q16" s="11" t="s">
        <v>82</v>
      </c>
    </row>
    <row r="17" spans="1:19" x14ac:dyDescent="0.3">
      <c r="A17" t="s">
        <v>83</v>
      </c>
      <c r="B17" s="1">
        <v>45124</v>
      </c>
      <c r="C17" t="s">
        <v>84</v>
      </c>
      <c r="D17" t="s">
        <v>36</v>
      </c>
      <c r="E17">
        <v>1</v>
      </c>
      <c r="F17">
        <v>7852</v>
      </c>
      <c r="G17" s="9">
        <v>0.21</v>
      </c>
      <c r="H17" t="s">
        <v>50</v>
      </c>
      <c r="I17" t="s">
        <v>85</v>
      </c>
      <c r="J17" s="14" t="s">
        <v>37</v>
      </c>
      <c r="K17">
        <v>3</v>
      </c>
      <c r="L17" t="s">
        <v>60</v>
      </c>
      <c r="M17">
        <f>Table1[[#This Row],[UnitPrice]]*Table1[[#This Row],[Quantity]]</f>
        <v>7852</v>
      </c>
      <c r="N17">
        <f>Table1[[#This Row],[Total Price]]*Table1[[#This Row],[Discount]]</f>
        <v>1648.9199999999998</v>
      </c>
      <c r="O17">
        <f>Table1[[#This Row],[Total Price]]-Table1[[#This Row],[Discount Amount]]</f>
        <v>6203.08</v>
      </c>
      <c r="Q17" s="8">
        <f>Q9/1201</f>
        <v>39766.597835137385</v>
      </c>
    </row>
    <row r="18" spans="1:19" x14ac:dyDescent="0.3">
      <c r="A18" t="s">
        <v>86</v>
      </c>
      <c r="B18" s="1">
        <v>44950</v>
      </c>
      <c r="C18" t="s">
        <v>87</v>
      </c>
      <c r="D18" t="s">
        <v>36</v>
      </c>
      <c r="E18">
        <v>2</v>
      </c>
      <c r="F18">
        <v>7201</v>
      </c>
      <c r="G18" s="9">
        <v>0.05</v>
      </c>
      <c r="H18" t="s">
        <v>26</v>
      </c>
      <c r="I18" t="s">
        <v>88</v>
      </c>
      <c r="J18" s="13" t="s">
        <v>73</v>
      </c>
      <c r="K18">
        <v>3</v>
      </c>
      <c r="L18" t="s">
        <v>28</v>
      </c>
      <c r="M18">
        <f>Table1[[#This Row],[UnitPrice]]*Table1[[#This Row],[Quantity]]</f>
        <v>14402</v>
      </c>
      <c r="N18">
        <f>Table1[[#This Row],[Total Price]]*Table1[[#This Row],[Discount]]</f>
        <v>720.1</v>
      </c>
      <c r="O18">
        <f>Table1[[#This Row],[Total Price]]-Table1[[#This Row],[Discount Amount]]</f>
        <v>13681.9</v>
      </c>
    </row>
    <row r="19" spans="1:19" x14ac:dyDescent="0.3">
      <c r="A19" t="s">
        <v>89</v>
      </c>
      <c r="B19" s="1">
        <v>45353</v>
      </c>
      <c r="C19" t="s">
        <v>90</v>
      </c>
      <c r="D19" t="s">
        <v>25</v>
      </c>
      <c r="E19">
        <v>3</v>
      </c>
      <c r="F19">
        <v>18660</v>
      </c>
      <c r="G19" s="9">
        <v>0.31</v>
      </c>
      <c r="H19" t="s">
        <v>13</v>
      </c>
      <c r="I19" t="s">
        <v>91</v>
      </c>
      <c r="J19" s="14" t="s">
        <v>14</v>
      </c>
      <c r="K19">
        <v>3</v>
      </c>
      <c r="L19" t="s">
        <v>22</v>
      </c>
      <c r="M19">
        <f>Table1[[#This Row],[UnitPrice]]*Table1[[#This Row],[Quantity]]</f>
        <v>55980</v>
      </c>
      <c r="N19">
        <f>Table1[[#This Row],[Total Price]]*Table1[[#This Row],[Discount]]</f>
        <v>17353.8</v>
      </c>
      <c r="O19">
        <f>Table1[[#This Row],[Total Price]]-Table1[[#This Row],[Discount Amount]]</f>
        <v>38626.199999999997</v>
      </c>
    </row>
    <row r="20" spans="1:19" x14ac:dyDescent="0.3">
      <c r="A20" t="s">
        <v>92</v>
      </c>
      <c r="B20" s="1">
        <v>45742</v>
      </c>
      <c r="C20" t="s">
        <v>93</v>
      </c>
      <c r="D20" t="s">
        <v>58</v>
      </c>
      <c r="E20">
        <v>1</v>
      </c>
      <c r="F20">
        <v>4976</v>
      </c>
      <c r="G20" s="9">
        <v>0.28000000000000003</v>
      </c>
      <c r="H20" t="s">
        <v>45</v>
      </c>
      <c r="I20" t="s">
        <v>94</v>
      </c>
      <c r="J20" s="13" t="s">
        <v>73</v>
      </c>
      <c r="K20">
        <v>3</v>
      </c>
      <c r="L20" t="s">
        <v>33</v>
      </c>
      <c r="M20">
        <f>Table1[[#This Row],[UnitPrice]]*Table1[[#This Row],[Quantity]]</f>
        <v>4976</v>
      </c>
      <c r="N20">
        <f>Table1[[#This Row],[Total Price]]*Table1[[#This Row],[Discount]]</f>
        <v>1393.2800000000002</v>
      </c>
      <c r="O20">
        <f>Table1[[#This Row],[Total Price]]-Table1[[#This Row],[Discount Amount]]</f>
        <v>3582.72</v>
      </c>
      <c r="Q20" s="12" t="s">
        <v>95</v>
      </c>
      <c r="S20" s="23" t="s">
        <v>76</v>
      </c>
    </row>
    <row r="21" spans="1:19" x14ac:dyDescent="0.3">
      <c r="A21" t="s">
        <v>96</v>
      </c>
      <c r="B21" s="1">
        <v>44949</v>
      </c>
      <c r="C21" t="s">
        <v>97</v>
      </c>
      <c r="D21" t="s">
        <v>12</v>
      </c>
      <c r="E21">
        <v>3</v>
      </c>
      <c r="F21">
        <v>4731</v>
      </c>
      <c r="G21" s="9">
        <v>0.48</v>
      </c>
      <c r="H21" t="s">
        <v>50</v>
      </c>
      <c r="I21" t="s">
        <v>98</v>
      </c>
      <c r="J21" s="14" t="s">
        <v>14</v>
      </c>
      <c r="K21">
        <v>9</v>
      </c>
      <c r="L21" t="s">
        <v>60</v>
      </c>
      <c r="M21">
        <f>Table1[[#This Row],[UnitPrice]]*Table1[[#This Row],[Quantity]]</f>
        <v>14193</v>
      </c>
      <c r="N21">
        <f>Table1[[#This Row],[Total Price]]*Table1[[#This Row],[Discount]]</f>
        <v>6812.6399999999994</v>
      </c>
      <c r="O21">
        <f>Table1[[#This Row],[Total Price]]-Table1[[#This Row],[Discount Amount]]</f>
        <v>7380.3600000000006</v>
      </c>
      <c r="Q21" s="3">
        <f>SUM(Table1[ItemsInCart])</f>
        <v>6582</v>
      </c>
    </row>
    <row r="22" spans="1:19" x14ac:dyDescent="0.3">
      <c r="A22" t="s">
        <v>99</v>
      </c>
      <c r="B22" s="1">
        <v>45054</v>
      </c>
      <c r="C22" t="s">
        <v>100</v>
      </c>
      <c r="D22" t="s">
        <v>31</v>
      </c>
      <c r="E22">
        <v>2</v>
      </c>
      <c r="F22">
        <v>37420</v>
      </c>
      <c r="G22" s="9">
        <v>0.08</v>
      </c>
      <c r="H22" t="s">
        <v>50</v>
      </c>
      <c r="I22" t="s">
        <v>101</v>
      </c>
      <c r="J22" s="13" t="s">
        <v>73</v>
      </c>
      <c r="K22">
        <v>9</v>
      </c>
      <c r="L22" t="s">
        <v>16</v>
      </c>
      <c r="M22">
        <f>Table1[[#This Row],[UnitPrice]]*Table1[[#This Row],[Quantity]]</f>
        <v>74840</v>
      </c>
      <c r="N22">
        <f>Table1[[#This Row],[Total Price]]*Table1[[#This Row],[Discount]]</f>
        <v>5987.2</v>
      </c>
      <c r="O22">
        <f>Table1[[#This Row],[Total Price]]-Table1[[#This Row],[Discount Amount]]</f>
        <v>68852.800000000003</v>
      </c>
      <c r="S22">
        <f>MATCH(S20,Table1[OrderID])</f>
        <v>14</v>
      </c>
    </row>
    <row r="23" spans="1:19" x14ac:dyDescent="0.3">
      <c r="A23" t="s">
        <v>102</v>
      </c>
      <c r="B23" s="1">
        <v>45613</v>
      </c>
      <c r="C23" t="s">
        <v>103</v>
      </c>
      <c r="D23" t="s">
        <v>12</v>
      </c>
      <c r="E23">
        <v>2</v>
      </c>
      <c r="F23">
        <v>6745</v>
      </c>
      <c r="G23" s="9">
        <v>0.33</v>
      </c>
      <c r="H23" t="s">
        <v>50</v>
      </c>
      <c r="I23" t="s">
        <v>104</v>
      </c>
      <c r="J23" s="14" t="s">
        <v>37</v>
      </c>
      <c r="K23">
        <v>6</v>
      </c>
      <c r="L23" t="s">
        <v>60</v>
      </c>
      <c r="M23">
        <f>Table1[[#This Row],[UnitPrice]]*Table1[[#This Row],[Quantity]]</f>
        <v>13490</v>
      </c>
      <c r="N23">
        <f>Table1[[#This Row],[Total Price]]*Table1[[#This Row],[Discount]]</f>
        <v>4451.7</v>
      </c>
      <c r="O23">
        <f>Table1[[#This Row],[Total Price]]-Table1[[#This Row],[Discount Amount]]</f>
        <v>9038.2999999999993</v>
      </c>
    </row>
    <row r="24" spans="1:19" x14ac:dyDescent="0.3">
      <c r="A24" t="s">
        <v>105</v>
      </c>
      <c r="B24" s="1">
        <v>44955</v>
      </c>
      <c r="C24" t="s">
        <v>106</v>
      </c>
      <c r="D24" t="s">
        <v>12</v>
      </c>
      <c r="E24">
        <v>1</v>
      </c>
      <c r="F24">
        <v>2395</v>
      </c>
      <c r="G24" s="9">
        <v>0.24</v>
      </c>
      <c r="H24" t="s">
        <v>20</v>
      </c>
      <c r="I24" t="s">
        <v>107</v>
      </c>
      <c r="J24" s="13" t="s">
        <v>73</v>
      </c>
      <c r="K24">
        <v>2</v>
      </c>
      <c r="L24" t="s">
        <v>60</v>
      </c>
      <c r="M24">
        <f>Table1[[#This Row],[UnitPrice]]*Table1[[#This Row],[Quantity]]</f>
        <v>2395</v>
      </c>
      <c r="N24">
        <f>Table1[[#This Row],[Total Price]]*Table1[[#This Row],[Discount]]</f>
        <v>574.79999999999995</v>
      </c>
      <c r="O24">
        <f>Table1[[#This Row],[Total Price]]-Table1[[#This Row],[Discount Amount]]</f>
        <v>1820.2</v>
      </c>
      <c r="Q24" s="11" t="s">
        <v>3635</v>
      </c>
    </row>
    <row r="25" spans="1:19" x14ac:dyDescent="0.3">
      <c r="A25" t="s">
        <v>108</v>
      </c>
      <c r="B25" s="1">
        <v>45756</v>
      </c>
      <c r="C25" t="s">
        <v>109</v>
      </c>
      <c r="D25" t="s">
        <v>19</v>
      </c>
      <c r="E25">
        <v>3</v>
      </c>
      <c r="F25">
        <v>26613</v>
      </c>
      <c r="G25" s="9">
        <v>0.19</v>
      </c>
      <c r="H25" t="s">
        <v>13</v>
      </c>
      <c r="I25" t="s">
        <v>110</v>
      </c>
      <c r="J25" s="14" t="s">
        <v>37</v>
      </c>
      <c r="K25">
        <v>5</v>
      </c>
      <c r="L25" t="s">
        <v>22</v>
      </c>
      <c r="M25">
        <f>Table1[[#This Row],[UnitPrice]]*Table1[[#This Row],[Quantity]]</f>
        <v>79839</v>
      </c>
      <c r="N25">
        <f>Table1[[#This Row],[Total Price]]*Table1[[#This Row],[Discount]]</f>
        <v>15169.41</v>
      </c>
      <c r="O25">
        <f>Table1[[#This Row],[Total Price]]-Table1[[#This Row],[Discount Amount]]</f>
        <v>64669.59</v>
      </c>
      <c r="Q25" s="17">
        <f>SUM(Table1[Net Price])</f>
        <v>35588921.339999996</v>
      </c>
    </row>
    <row r="26" spans="1:19" x14ac:dyDescent="0.3">
      <c r="A26" t="s">
        <v>111</v>
      </c>
      <c r="B26" s="1">
        <v>45595</v>
      </c>
      <c r="C26" t="s">
        <v>112</v>
      </c>
      <c r="D26" t="s">
        <v>44</v>
      </c>
      <c r="E26">
        <v>1</v>
      </c>
      <c r="F26">
        <v>27787</v>
      </c>
      <c r="G26" s="9">
        <v>0.4</v>
      </c>
      <c r="H26" t="s">
        <v>20</v>
      </c>
      <c r="I26" t="s">
        <v>113</v>
      </c>
      <c r="J26" s="13" t="s">
        <v>37</v>
      </c>
      <c r="K26">
        <v>3</v>
      </c>
      <c r="L26" t="s">
        <v>22</v>
      </c>
      <c r="M26">
        <f>Table1[[#This Row],[UnitPrice]]*Table1[[#This Row],[Quantity]]</f>
        <v>27787</v>
      </c>
      <c r="N26">
        <f>Table1[[#This Row],[Total Price]]*Table1[[#This Row],[Discount]]</f>
        <v>11114.800000000001</v>
      </c>
      <c r="O26">
        <f>Table1[[#This Row],[Total Price]]-Table1[[#This Row],[Discount Amount]]</f>
        <v>16672.199999999997</v>
      </c>
    </row>
    <row r="27" spans="1:19" x14ac:dyDescent="0.3">
      <c r="A27" t="s">
        <v>114</v>
      </c>
      <c r="B27" s="1">
        <v>45497</v>
      </c>
      <c r="C27" t="s">
        <v>115</v>
      </c>
      <c r="D27" t="s">
        <v>12</v>
      </c>
      <c r="E27">
        <v>1</v>
      </c>
      <c r="F27">
        <v>3222</v>
      </c>
      <c r="G27" s="9">
        <v>0.41</v>
      </c>
      <c r="H27" t="s">
        <v>13</v>
      </c>
      <c r="I27" t="s">
        <v>116</v>
      </c>
      <c r="J27" s="14" t="s">
        <v>37</v>
      </c>
      <c r="K27">
        <v>3</v>
      </c>
      <c r="L27" t="s">
        <v>28</v>
      </c>
      <c r="M27">
        <f>Table1[[#This Row],[UnitPrice]]*Table1[[#This Row],[Quantity]]</f>
        <v>3222</v>
      </c>
      <c r="N27">
        <f>Table1[[#This Row],[Total Price]]*Table1[[#This Row],[Discount]]</f>
        <v>1321.02</v>
      </c>
      <c r="O27">
        <f>Table1[[#This Row],[Total Price]]-Table1[[#This Row],[Discount Amount]]</f>
        <v>1900.98</v>
      </c>
    </row>
    <row r="28" spans="1:19" x14ac:dyDescent="0.3">
      <c r="A28" t="s">
        <v>117</v>
      </c>
      <c r="B28" s="1">
        <v>45357</v>
      </c>
      <c r="C28" t="s">
        <v>118</v>
      </c>
      <c r="D28" t="s">
        <v>44</v>
      </c>
      <c r="E28">
        <v>2</v>
      </c>
      <c r="F28">
        <v>33145</v>
      </c>
      <c r="G28" s="9">
        <v>0.36</v>
      </c>
      <c r="H28" t="s">
        <v>20</v>
      </c>
      <c r="I28" t="s">
        <v>119</v>
      </c>
      <c r="J28" s="13" t="s">
        <v>37</v>
      </c>
      <c r="K28">
        <v>6</v>
      </c>
      <c r="L28" t="s">
        <v>22</v>
      </c>
      <c r="M28">
        <f>Table1[[#This Row],[UnitPrice]]*Table1[[#This Row],[Quantity]]</f>
        <v>66290</v>
      </c>
      <c r="N28">
        <f>Table1[[#This Row],[Total Price]]*Table1[[#This Row],[Discount]]</f>
        <v>23864.399999999998</v>
      </c>
      <c r="O28">
        <f>Table1[[#This Row],[Total Price]]-Table1[[#This Row],[Discount Amount]]</f>
        <v>42425.600000000006</v>
      </c>
      <c r="Q28" s="11" t="s">
        <v>3639</v>
      </c>
    </row>
    <row r="29" spans="1:19" x14ac:dyDescent="0.3">
      <c r="A29" t="s">
        <v>120</v>
      </c>
      <c r="B29" s="1">
        <v>45344</v>
      </c>
      <c r="C29" t="s">
        <v>121</v>
      </c>
      <c r="D29" t="s">
        <v>36</v>
      </c>
      <c r="E29">
        <v>2</v>
      </c>
      <c r="F29">
        <v>5662</v>
      </c>
      <c r="G29" s="9">
        <v>0.04</v>
      </c>
      <c r="H29" t="s">
        <v>20</v>
      </c>
      <c r="I29" t="s">
        <v>122</v>
      </c>
      <c r="J29" s="14" t="s">
        <v>14</v>
      </c>
      <c r="K29">
        <v>6</v>
      </c>
      <c r="L29" t="s">
        <v>60</v>
      </c>
      <c r="M29">
        <f>Table1[[#This Row],[UnitPrice]]*Table1[[#This Row],[Quantity]]</f>
        <v>11324</v>
      </c>
      <c r="N29">
        <f>Table1[[#This Row],[Total Price]]*Table1[[#This Row],[Discount]]</f>
        <v>452.96000000000004</v>
      </c>
      <c r="O29">
        <f>Table1[[#This Row],[Total Price]]-Table1[[#This Row],[Discount Amount]]</f>
        <v>10871.04</v>
      </c>
      <c r="Q29" s="16">
        <f>AVERAGE(Table1[Discount])</f>
        <v>0.2483999999999999</v>
      </c>
    </row>
    <row r="30" spans="1:19" x14ac:dyDescent="0.3">
      <c r="A30" t="s">
        <v>123</v>
      </c>
      <c r="B30" s="1">
        <v>45251</v>
      </c>
      <c r="C30" t="s">
        <v>124</v>
      </c>
      <c r="D30" t="s">
        <v>19</v>
      </c>
      <c r="E30">
        <v>3</v>
      </c>
      <c r="F30">
        <v>33325</v>
      </c>
      <c r="G30" s="9">
        <v>0.17</v>
      </c>
      <c r="H30" t="s">
        <v>20</v>
      </c>
      <c r="I30" t="s">
        <v>125</v>
      </c>
      <c r="J30" s="13" t="s">
        <v>73</v>
      </c>
      <c r="K30">
        <v>5</v>
      </c>
      <c r="L30" t="s">
        <v>28</v>
      </c>
      <c r="M30">
        <f>Table1[[#This Row],[UnitPrice]]*Table1[[#This Row],[Quantity]]</f>
        <v>99975</v>
      </c>
      <c r="N30">
        <f>Table1[[#This Row],[Total Price]]*Table1[[#This Row],[Discount]]</f>
        <v>16995.75</v>
      </c>
      <c r="O30">
        <f>Table1[[#This Row],[Total Price]]-Table1[[#This Row],[Discount Amount]]</f>
        <v>82979.25</v>
      </c>
    </row>
    <row r="31" spans="1:19" x14ac:dyDescent="0.3">
      <c r="A31" t="s">
        <v>126</v>
      </c>
      <c r="B31" s="1">
        <v>45555</v>
      </c>
      <c r="C31" t="s">
        <v>127</v>
      </c>
      <c r="D31" t="s">
        <v>58</v>
      </c>
      <c r="E31">
        <v>3</v>
      </c>
      <c r="F31">
        <v>3364</v>
      </c>
      <c r="G31" s="9">
        <v>0.02</v>
      </c>
      <c r="H31" t="s">
        <v>26</v>
      </c>
      <c r="I31" t="s">
        <v>128</v>
      </c>
      <c r="J31" s="14" t="s">
        <v>37</v>
      </c>
      <c r="K31">
        <v>6</v>
      </c>
      <c r="L31" t="s">
        <v>22</v>
      </c>
      <c r="M31">
        <f>Table1[[#This Row],[UnitPrice]]*Table1[[#This Row],[Quantity]]</f>
        <v>10092</v>
      </c>
      <c r="N31">
        <f>Table1[[#This Row],[Total Price]]*Table1[[#This Row],[Discount]]</f>
        <v>201.84</v>
      </c>
      <c r="O31">
        <f>Table1[[#This Row],[Total Price]]-Table1[[#This Row],[Discount Amount]]</f>
        <v>9890.16</v>
      </c>
    </row>
    <row r="32" spans="1:19" x14ac:dyDescent="0.3">
      <c r="A32" t="s">
        <v>129</v>
      </c>
      <c r="B32" s="1">
        <v>45738</v>
      </c>
      <c r="C32" t="s">
        <v>130</v>
      </c>
      <c r="D32" t="s">
        <v>12</v>
      </c>
      <c r="E32">
        <v>1</v>
      </c>
      <c r="F32">
        <v>2540</v>
      </c>
      <c r="G32" s="9">
        <v>0.17</v>
      </c>
      <c r="H32" t="s">
        <v>20</v>
      </c>
      <c r="I32" t="s">
        <v>131</v>
      </c>
      <c r="J32" s="13" t="s">
        <v>73</v>
      </c>
      <c r="K32">
        <v>5</v>
      </c>
      <c r="L32" t="s">
        <v>22</v>
      </c>
      <c r="M32">
        <f>Table1[[#This Row],[UnitPrice]]*Table1[[#This Row],[Quantity]]</f>
        <v>2540</v>
      </c>
      <c r="N32">
        <f>Table1[[#This Row],[Total Price]]*Table1[[#This Row],[Discount]]</f>
        <v>431.8</v>
      </c>
      <c r="O32">
        <f>Table1[[#This Row],[Total Price]]-Table1[[#This Row],[Discount Amount]]</f>
        <v>2108.1999999999998</v>
      </c>
      <c r="Q32" s="21"/>
    </row>
    <row r="33" spans="1:15" x14ac:dyDescent="0.3">
      <c r="A33" t="s">
        <v>132</v>
      </c>
      <c r="B33" s="1">
        <v>45107</v>
      </c>
      <c r="C33" t="s">
        <v>133</v>
      </c>
      <c r="D33" t="s">
        <v>31</v>
      </c>
      <c r="E33">
        <v>2</v>
      </c>
      <c r="F33">
        <v>15825</v>
      </c>
      <c r="G33" s="9">
        <v>0.32</v>
      </c>
      <c r="H33" t="s">
        <v>13</v>
      </c>
      <c r="I33" t="s">
        <v>134</v>
      </c>
      <c r="J33" s="14" t="s">
        <v>14</v>
      </c>
      <c r="K33">
        <v>6</v>
      </c>
      <c r="L33" t="s">
        <v>33</v>
      </c>
      <c r="M33">
        <f>Table1[[#This Row],[UnitPrice]]*Table1[[#This Row],[Quantity]]</f>
        <v>31650</v>
      </c>
      <c r="N33">
        <f>Table1[[#This Row],[Total Price]]*Table1[[#This Row],[Discount]]</f>
        <v>10128</v>
      </c>
      <c r="O33">
        <f>Table1[[#This Row],[Total Price]]-Table1[[#This Row],[Discount Amount]]</f>
        <v>21522</v>
      </c>
    </row>
    <row r="34" spans="1:15" x14ac:dyDescent="0.3">
      <c r="A34" t="s">
        <v>135</v>
      </c>
      <c r="B34" s="1">
        <v>45047</v>
      </c>
      <c r="C34" t="s">
        <v>136</v>
      </c>
      <c r="D34" t="s">
        <v>25</v>
      </c>
      <c r="E34">
        <v>1</v>
      </c>
      <c r="F34">
        <v>4234</v>
      </c>
      <c r="G34" s="9">
        <v>0.26</v>
      </c>
      <c r="H34" t="s">
        <v>50</v>
      </c>
      <c r="I34" t="s">
        <v>137</v>
      </c>
      <c r="J34" s="13" t="s">
        <v>37</v>
      </c>
      <c r="K34">
        <v>10</v>
      </c>
      <c r="L34" t="s">
        <v>28</v>
      </c>
      <c r="M34">
        <f>Table1[[#This Row],[UnitPrice]]*Table1[[#This Row],[Quantity]]</f>
        <v>4234</v>
      </c>
      <c r="N34">
        <f>Table1[[#This Row],[Total Price]]*Table1[[#This Row],[Discount]]</f>
        <v>1100.8400000000001</v>
      </c>
      <c r="O34">
        <f>Table1[[#This Row],[Total Price]]-Table1[[#This Row],[Discount Amount]]</f>
        <v>3133.16</v>
      </c>
    </row>
    <row r="35" spans="1:15" x14ac:dyDescent="0.3">
      <c r="A35" t="s">
        <v>138</v>
      </c>
      <c r="B35" s="1">
        <v>45082</v>
      </c>
      <c r="C35" t="s">
        <v>139</v>
      </c>
      <c r="D35" t="s">
        <v>31</v>
      </c>
      <c r="E35">
        <v>3</v>
      </c>
      <c r="F35">
        <v>43700</v>
      </c>
      <c r="G35" s="9">
        <v>0.35</v>
      </c>
      <c r="H35" t="s">
        <v>20</v>
      </c>
      <c r="I35" t="s">
        <v>140</v>
      </c>
      <c r="J35" s="14" t="s">
        <v>14</v>
      </c>
      <c r="K35">
        <v>4</v>
      </c>
      <c r="L35" t="s">
        <v>33</v>
      </c>
      <c r="M35">
        <f>Table1[[#This Row],[UnitPrice]]*Table1[[#This Row],[Quantity]]</f>
        <v>131100</v>
      </c>
      <c r="N35">
        <f>Table1[[#This Row],[Total Price]]*Table1[[#This Row],[Discount]]</f>
        <v>45885</v>
      </c>
      <c r="O35">
        <f>Table1[[#This Row],[Total Price]]-Table1[[#This Row],[Discount Amount]]</f>
        <v>85215</v>
      </c>
    </row>
    <row r="36" spans="1:15" x14ac:dyDescent="0.3">
      <c r="A36" t="s">
        <v>141</v>
      </c>
      <c r="B36" s="1">
        <v>44933</v>
      </c>
      <c r="C36" t="s">
        <v>142</v>
      </c>
      <c r="D36" t="s">
        <v>31</v>
      </c>
      <c r="E36">
        <v>3</v>
      </c>
      <c r="F36">
        <v>42865</v>
      </c>
      <c r="G36" s="9">
        <v>0.28000000000000003</v>
      </c>
      <c r="H36" t="s">
        <v>26</v>
      </c>
      <c r="I36" t="s">
        <v>143</v>
      </c>
      <c r="J36" s="13" t="s">
        <v>73</v>
      </c>
      <c r="K36">
        <v>5</v>
      </c>
      <c r="L36" t="s">
        <v>33</v>
      </c>
      <c r="M36">
        <f>Table1[[#This Row],[UnitPrice]]*Table1[[#This Row],[Quantity]]</f>
        <v>128595</v>
      </c>
      <c r="N36">
        <f>Table1[[#This Row],[Total Price]]*Table1[[#This Row],[Discount]]</f>
        <v>36006.600000000006</v>
      </c>
      <c r="O36">
        <f>Table1[[#This Row],[Total Price]]-Table1[[#This Row],[Discount Amount]]</f>
        <v>92588.4</v>
      </c>
    </row>
    <row r="37" spans="1:15" x14ac:dyDescent="0.3">
      <c r="A37" t="s">
        <v>144</v>
      </c>
      <c r="B37" s="1">
        <v>45633</v>
      </c>
      <c r="C37" t="s">
        <v>145</v>
      </c>
      <c r="D37" t="s">
        <v>12</v>
      </c>
      <c r="E37">
        <v>2</v>
      </c>
      <c r="F37">
        <v>6559</v>
      </c>
      <c r="G37" s="9">
        <v>0.28000000000000003</v>
      </c>
      <c r="H37" t="s">
        <v>20</v>
      </c>
      <c r="I37" t="s">
        <v>146</v>
      </c>
      <c r="J37" s="14" t="s">
        <v>14</v>
      </c>
      <c r="K37">
        <v>2</v>
      </c>
      <c r="L37" t="s">
        <v>33</v>
      </c>
      <c r="M37">
        <f>Table1[[#This Row],[UnitPrice]]*Table1[[#This Row],[Quantity]]</f>
        <v>13118</v>
      </c>
      <c r="N37">
        <f>Table1[[#This Row],[Total Price]]*Table1[[#This Row],[Discount]]</f>
        <v>3673.0400000000004</v>
      </c>
      <c r="O37">
        <f>Table1[[#This Row],[Total Price]]-Table1[[#This Row],[Discount Amount]]</f>
        <v>9444.9599999999991</v>
      </c>
    </row>
    <row r="38" spans="1:15" x14ac:dyDescent="0.3">
      <c r="A38" t="s">
        <v>147</v>
      </c>
      <c r="B38" s="1">
        <v>45785</v>
      </c>
      <c r="C38" t="s">
        <v>148</v>
      </c>
      <c r="D38" t="s">
        <v>44</v>
      </c>
      <c r="E38">
        <v>3</v>
      </c>
      <c r="F38">
        <v>41679</v>
      </c>
      <c r="G38" s="9">
        <v>0.26</v>
      </c>
      <c r="H38" t="s">
        <v>13</v>
      </c>
      <c r="I38" t="s">
        <v>149</v>
      </c>
      <c r="J38" s="13" t="s">
        <v>73</v>
      </c>
      <c r="K38">
        <v>5</v>
      </c>
      <c r="L38" t="s">
        <v>33</v>
      </c>
      <c r="M38">
        <f>Table1[[#This Row],[UnitPrice]]*Table1[[#This Row],[Quantity]]</f>
        <v>125037</v>
      </c>
      <c r="N38">
        <f>Table1[[#This Row],[Total Price]]*Table1[[#This Row],[Discount]]</f>
        <v>32509.620000000003</v>
      </c>
      <c r="O38">
        <f>Table1[[#This Row],[Total Price]]-Table1[[#This Row],[Discount Amount]]</f>
        <v>92527.38</v>
      </c>
    </row>
    <row r="39" spans="1:15" x14ac:dyDescent="0.3">
      <c r="A39" t="s">
        <v>150</v>
      </c>
      <c r="B39" s="1">
        <v>45579</v>
      </c>
      <c r="C39" t="s">
        <v>151</v>
      </c>
      <c r="D39" t="s">
        <v>44</v>
      </c>
      <c r="E39">
        <v>2</v>
      </c>
      <c r="F39">
        <v>65409</v>
      </c>
      <c r="G39" s="9">
        <v>0.18</v>
      </c>
      <c r="H39" t="s">
        <v>50</v>
      </c>
      <c r="I39" t="s">
        <v>152</v>
      </c>
      <c r="J39" s="14" t="s">
        <v>14</v>
      </c>
      <c r="K39">
        <v>7</v>
      </c>
      <c r="L39" t="s">
        <v>16</v>
      </c>
      <c r="M39">
        <f>Table1[[#This Row],[UnitPrice]]*Table1[[#This Row],[Quantity]]</f>
        <v>130818</v>
      </c>
      <c r="N39">
        <f>Table1[[#This Row],[Total Price]]*Table1[[#This Row],[Discount]]</f>
        <v>23547.239999999998</v>
      </c>
      <c r="O39">
        <f>Table1[[#This Row],[Total Price]]-Table1[[#This Row],[Discount Amount]]</f>
        <v>107270.76000000001</v>
      </c>
    </row>
    <row r="40" spans="1:15" x14ac:dyDescent="0.3">
      <c r="A40" t="s">
        <v>153</v>
      </c>
      <c r="B40" s="1">
        <v>45645</v>
      </c>
      <c r="C40" t="s">
        <v>154</v>
      </c>
      <c r="D40" t="s">
        <v>44</v>
      </c>
      <c r="E40">
        <v>3</v>
      </c>
      <c r="F40">
        <v>38316</v>
      </c>
      <c r="G40" s="9">
        <v>0.22</v>
      </c>
      <c r="H40" t="s">
        <v>13</v>
      </c>
      <c r="I40" t="s">
        <v>155</v>
      </c>
      <c r="J40" s="13" t="s">
        <v>37</v>
      </c>
      <c r="K40">
        <v>3</v>
      </c>
      <c r="L40" t="s">
        <v>60</v>
      </c>
      <c r="M40">
        <f>Table1[[#This Row],[UnitPrice]]*Table1[[#This Row],[Quantity]]</f>
        <v>114948</v>
      </c>
      <c r="N40">
        <f>Table1[[#This Row],[Total Price]]*Table1[[#This Row],[Discount]]</f>
        <v>25288.560000000001</v>
      </c>
      <c r="O40">
        <f>Table1[[#This Row],[Total Price]]-Table1[[#This Row],[Discount Amount]]</f>
        <v>89659.44</v>
      </c>
    </row>
    <row r="41" spans="1:15" x14ac:dyDescent="0.3">
      <c r="A41" t="s">
        <v>156</v>
      </c>
      <c r="B41" s="1">
        <v>45715</v>
      </c>
      <c r="C41" t="s">
        <v>157</v>
      </c>
      <c r="D41" t="s">
        <v>36</v>
      </c>
      <c r="E41">
        <v>1</v>
      </c>
      <c r="F41">
        <v>5443</v>
      </c>
      <c r="G41" s="9">
        <v>0.06</v>
      </c>
      <c r="H41" t="s">
        <v>26</v>
      </c>
      <c r="I41" t="s">
        <v>158</v>
      </c>
      <c r="J41" s="14" t="s">
        <v>37</v>
      </c>
      <c r="K41">
        <v>4</v>
      </c>
      <c r="L41" t="s">
        <v>22</v>
      </c>
      <c r="M41">
        <f>Table1[[#This Row],[UnitPrice]]*Table1[[#This Row],[Quantity]]</f>
        <v>5443</v>
      </c>
      <c r="N41">
        <f>Table1[[#This Row],[Total Price]]*Table1[[#This Row],[Discount]]</f>
        <v>326.58</v>
      </c>
      <c r="O41">
        <f>Table1[[#This Row],[Total Price]]-Table1[[#This Row],[Discount Amount]]</f>
        <v>5116.42</v>
      </c>
    </row>
    <row r="42" spans="1:15" x14ac:dyDescent="0.3">
      <c r="A42" t="s">
        <v>159</v>
      </c>
      <c r="B42" s="1">
        <v>45158</v>
      </c>
      <c r="C42" t="s">
        <v>160</v>
      </c>
      <c r="D42" t="s">
        <v>58</v>
      </c>
      <c r="E42">
        <v>3</v>
      </c>
      <c r="F42">
        <v>9969</v>
      </c>
      <c r="G42" s="9">
        <v>0.42</v>
      </c>
      <c r="H42" t="s">
        <v>20</v>
      </c>
      <c r="I42" t="s">
        <v>161</v>
      </c>
      <c r="J42" s="13" t="s">
        <v>37</v>
      </c>
      <c r="K42">
        <v>4</v>
      </c>
      <c r="L42" t="s">
        <v>16</v>
      </c>
      <c r="M42">
        <f>Table1[[#This Row],[UnitPrice]]*Table1[[#This Row],[Quantity]]</f>
        <v>29907</v>
      </c>
      <c r="N42">
        <f>Table1[[#This Row],[Total Price]]*Table1[[#This Row],[Discount]]</f>
        <v>12560.939999999999</v>
      </c>
      <c r="O42">
        <f>Table1[[#This Row],[Total Price]]-Table1[[#This Row],[Discount Amount]]</f>
        <v>17346.060000000001</v>
      </c>
    </row>
    <row r="43" spans="1:15" x14ac:dyDescent="0.3">
      <c r="A43" t="s">
        <v>162</v>
      </c>
      <c r="B43" s="1">
        <v>45265</v>
      </c>
      <c r="C43" t="s">
        <v>163</v>
      </c>
      <c r="D43" t="s">
        <v>12</v>
      </c>
      <c r="E43">
        <v>1</v>
      </c>
      <c r="F43">
        <v>2737</v>
      </c>
      <c r="G43" s="9">
        <v>0.44</v>
      </c>
      <c r="H43" t="s">
        <v>45</v>
      </c>
      <c r="I43" t="s">
        <v>164</v>
      </c>
      <c r="J43" s="14" t="s">
        <v>73</v>
      </c>
      <c r="K43">
        <v>4</v>
      </c>
      <c r="L43" t="s">
        <v>16</v>
      </c>
      <c r="M43">
        <f>Table1[[#This Row],[UnitPrice]]*Table1[[#This Row],[Quantity]]</f>
        <v>2737</v>
      </c>
      <c r="N43">
        <f>Table1[[#This Row],[Total Price]]*Table1[[#This Row],[Discount]]</f>
        <v>1204.28</v>
      </c>
      <c r="O43">
        <f>Table1[[#This Row],[Total Price]]-Table1[[#This Row],[Discount Amount]]</f>
        <v>1532.72</v>
      </c>
    </row>
    <row r="44" spans="1:15" x14ac:dyDescent="0.3">
      <c r="A44" t="s">
        <v>165</v>
      </c>
      <c r="B44" s="1">
        <v>45418</v>
      </c>
      <c r="C44" t="s">
        <v>166</v>
      </c>
      <c r="D44" t="s">
        <v>36</v>
      </c>
      <c r="E44">
        <v>3</v>
      </c>
      <c r="F44">
        <v>5989</v>
      </c>
      <c r="G44" s="9">
        <v>0.38</v>
      </c>
      <c r="H44" t="s">
        <v>50</v>
      </c>
      <c r="I44" t="s">
        <v>167</v>
      </c>
      <c r="J44" s="13" t="s">
        <v>73</v>
      </c>
      <c r="K44">
        <v>6</v>
      </c>
      <c r="L44" t="s">
        <v>16</v>
      </c>
      <c r="M44">
        <f>Table1[[#This Row],[UnitPrice]]*Table1[[#This Row],[Quantity]]</f>
        <v>17967</v>
      </c>
      <c r="N44">
        <f>Table1[[#This Row],[Total Price]]*Table1[[#This Row],[Discount]]</f>
        <v>6827.46</v>
      </c>
      <c r="O44">
        <f>Table1[[#This Row],[Total Price]]-Table1[[#This Row],[Discount Amount]]</f>
        <v>11139.54</v>
      </c>
    </row>
    <row r="45" spans="1:15" x14ac:dyDescent="0.3">
      <c r="A45" t="s">
        <v>168</v>
      </c>
      <c r="B45" s="1">
        <v>45274</v>
      </c>
      <c r="C45" t="s">
        <v>169</v>
      </c>
      <c r="D45" t="s">
        <v>31</v>
      </c>
      <c r="E45">
        <v>3</v>
      </c>
      <c r="F45">
        <v>33238</v>
      </c>
      <c r="G45" s="9">
        <v>0.28999999999999998</v>
      </c>
      <c r="H45" t="s">
        <v>20</v>
      </c>
      <c r="I45" t="s">
        <v>170</v>
      </c>
      <c r="J45" s="14" t="s">
        <v>73</v>
      </c>
      <c r="K45">
        <v>8</v>
      </c>
      <c r="L45" t="s">
        <v>16</v>
      </c>
      <c r="M45">
        <f>Table1[[#This Row],[UnitPrice]]*Table1[[#This Row],[Quantity]]</f>
        <v>99714</v>
      </c>
      <c r="N45">
        <f>Table1[[#This Row],[Total Price]]*Table1[[#This Row],[Discount]]</f>
        <v>28917.059999999998</v>
      </c>
      <c r="O45">
        <f>Table1[[#This Row],[Total Price]]-Table1[[#This Row],[Discount Amount]]</f>
        <v>70796.94</v>
      </c>
    </row>
    <row r="46" spans="1:15" x14ac:dyDescent="0.3">
      <c r="A46" t="s">
        <v>171</v>
      </c>
      <c r="B46" s="1">
        <v>45768</v>
      </c>
      <c r="C46" t="s">
        <v>172</v>
      </c>
      <c r="D46" t="s">
        <v>19</v>
      </c>
      <c r="E46">
        <v>2</v>
      </c>
      <c r="F46">
        <v>31435</v>
      </c>
      <c r="G46" s="9">
        <v>0.28000000000000003</v>
      </c>
      <c r="H46" t="s">
        <v>45</v>
      </c>
      <c r="I46" t="s">
        <v>173</v>
      </c>
      <c r="J46" s="13" t="s">
        <v>14</v>
      </c>
      <c r="K46">
        <v>3</v>
      </c>
      <c r="L46" t="s">
        <v>22</v>
      </c>
      <c r="M46">
        <f>Table1[[#This Row],[UnitPrice]]*Table1[[#This Row],[Quantity]]</f>
        <v>62870</v>
      </c>
      <c r="N46">
        <f>Table1[[#This Row],[Total Price]]*Table1[[#This Row],[Discount]]</f>
        <v>17603.600000000002</v>
      </c>
      <c r="O46">
        <f>Table1[[#This Row],[Total Price]]-Table1[[#This Row],[Discount Amount]]</f>
        <v>45266.399999999994</v>
      </c>
    </row>
    <row r="47" spans="1:15" x14ac:dyDescent="0.3">
      <c r="A47" t="s">
        <v>174</v>
      </c>
      <c r="B47" s="1">
        <v>45332</v>
      </c>
      <c r="C47" t="s">
        <v>175</v>
      </c>
      <c r="D47" t="s">
        <v>31</v>
      </c>
      <c r="E47">
        <v>1</v>
      </c>
      <c r="F47">
        <v>16498</v>
      </c>
      <c r="G47" s="9">
        <v>0.24</v>
      </c>
      <c r="H47" t="s">
        <v>13</v>
      </c>
      <c r="I47" t="s">
        <v>176</v>
      </c>
      <c r="J47" s="14" t="s">
        <v>73</v>
      </c>
      <c r="K47">
        <v>1</v>
      </c>
      <c r="L47" t="s">
        <v>33</v>
      </c>
      <c r="M47">
        <f>Table1[[#This Row],[UnitPrice]]*Table1[[#This Row],[Quantity]]</f>
        <v>16498</v>
      </c>
      <c r="N47">
        <f>Table1[[#This Row],[Total Price]]*Table1[[#This Row],[Discount]]</f>
        <v>3959.52</v>
      </c>
      <c r="O47">
        <f>Table1[[#This Row],[Total Price]]-Table1[[#This Row],[Discount Amount]]</f>
        <v>12538.48</v>
      </c>
    </row>
    <row r="48" spans="1:15" x14ac:dyDescent="0.3">
      <c r="A48" t="s">
        <v>177</v>
      </c>
      <c r="B48" s="1">
        <v>45469</v>
      </c>
      <c r="C48" t="s">
        <v>178</v>
      </c>
      <c r="D48" t="s">
        <v>12</v>
      </c>
      <c r="E48">
        <v>3</v>
      </c>
      <c r="F48">
        <v>1782</v>
      </c>
      <c r="G48" s="9">
        <v>0.12</v>
      </c>
      <c r="H48" t="s">
        <v>13</v>
      </c>
      <c r="I48" t="s">
        <v>179</v>
      </c>
      <c r="J48" s="13" t="s">
        <v>73</v>
      </c>
      <c r="K48">
        <v>4</v>
      </c>
      <c r="L48" t="s">
        <v>16</v>
      </c>
      <c r="M48">
        <f>Table1[[#This Row],[UnitPrice]]*Table1[[#This Row],[Quantity]]</f>
        <v>5346</v>
      </c>
      <c r="N48">
        <f>Table1[[#This Row],[Total Price]]*Table1[[#This Row],[Discount]]</f>
        <v>641.52</v>
      </c>
      <c r="O48">
        <f>Table1[[#This Row],[Total Price]]-Table1[[#This Row],[Discount Amount]]</f>
        <v>4704.4799999999996</v>
      </c>
    </row>
    <row r="49" spans="1:15" x14ac:dyDescent="0.3">
      <c r="A49" t="s">
        <v>180</v>
      </c>
      <c r="B49" s="1">
        <v>45126</v>
      </c>
      <c r="C49" t="s">
        <v>181</v>
      </c>
      <c r="D49" t="s">
        <v>58</v>
      </c>
      <c r="E49">
        <v>2</v>
      </c>
      <c r="F49">
        <v>6107</v>
      </c>
      <c r="G49" s="9">
        <v>0.19</v>
      </c>
      <c r="H49" t="s">
        <v>26</v>
      </c>
      <c r="I49" t="s">
        <v>182</v>
      </c>
      <c r="J49" s="14" t="s">
        <v>37</v>
      </c>
      <c r="K49">
        <v>3</v>
      </c>
      <c r="L49" t="s">
        <v>28</v>
      </c>
      <c r="M49">
        <f>Table1[[#This Row],[UnitPrice]]*Table1[[#This Row],[Quantity]]</f>
        <v>12214</v>
      </c>
      <c r="N49">
        <f>Table1[[#This Row],[Total Price]]*Table1[[#This Row],[Discount]]</f>
        <v>2320.66</v>
      </c>
      <c r="O49">
        <f>Table1[[#This Row],[Total Price]]-Table1[[#This Row],[Discount Amount]]</f>
        <v>9893.34</v>
      </c>
    </row>
    <row r="50" spans="1:15" x14ac:dyDescent="0.3">
      <c r="A50" t="s">
        <v>183</v>
      </c>
      <c r="B50" s="1">
        <v>45164</v>
      </c>
      <c r="C50" t="s">
        <v>184</v>
      </c>
      <c r="D50" t="s">
        <v>12</v>
      </c>
      <c r="E50">
        <v>2</v>
      </c>
      <c r="F50">
        <v>6404</v>
      </c>
      <c r="G50" s="9">
        <v>0.49</v>
      </c>
      <c r="H50" t="s">
        <v>13</v>
      </c>
      <c r="I50" t="s">
        <v>185</v>
      </c>
      <c r="J50" s="13" t="s">
        <v>14</v>
      </c>
      <c r="K50">
        <v>4</v>
      </c>
      <c r="L50" t="s">
        <v>60</v>
      </c>
      <c r="M50">
        <f>Table1[[#This Row],[UnitPrice]]*Table1[[#This Row],[Quantity]]</f>
        <v>12808</v>
      </c>
      <c r="N50">
        <f>Table1[[#This Row],[Total Price]]*Table1[[#This Row],[Discount]]</f>
        <v>6275.92</v>
      </c>
      <c r="O50">
        <f>Table1[[#This Row],[Total Price]]-Table1[[#This Row],[Discount Amount]]</f>
        <v>6532.08</v>
      </c>
    </row>
    <row r="51" spans="1:15" x14ac:dyDescent="0.3">
      <c r="A51" t="s">
        <v>186</v>
      </c>
      <c r="B51" s="1">
        <v>45206</v>
      </c>
      <c r="C51" t="s">
        <v>187</v>
      </c>
      <c r="D51" t="s">
        <v>36</v>
      </c>
      <c r="E51">
        <v>1</v>
      </c>
      <c r="F51">
        <v>8192</v>
      </c>
      <c r="G51" s="9">
        <v>7.0000000000000007E-2</v>
      </c>
      <c r="H51" t="s">
        <v>26</v>
      </c>
      <c r="I51" t="s">
        <v>188</v>
      </c>
      <c r="J51" s="14" t="s">
        <v>14</v>
      </c>
      <c r="K51">
        <v>1</v>
      </c>
      <c r="L51" t="s">
        <v>28</v>
      </c>
      <c r="M51">
        <f>Table1[[#This Row],[UnitPrice]]*Table1[[#This Row],[Quantity]]</f>
        <v>8192</v>
      </c>
      <c r="N51">
        <f>Table1[[#This Row],[Total Price]]*Table1[[#This Row],[Discount]]</f>
        <v>573.44000000000005</v>
      </c>
      <c r="O51">
        <f>Table1[[#This Row],[Total Price]]-Table1[[#This Row],[Discount Amount]]</f>
        <v>7618.5599999999995</v>
      </c>
    </row>
    <row r="52" spans="1:15" x14ac:dyDescent="0.3">
      <c r="A52" t="s">
        <v>189</v>
      </c>
      <c r="B52" s="1">
        <v>45138</v>
      </c>
      <c r="C52" t="s">
        <v>190</v>
      </c>
      <c r="D52" t="s">
        <v>25</v>
      </c>
      <c r="E52">
        <v>1</v>
      </c>
      <c r="F52">
        <v>16203</v>
      </c>
      <c r="G52" s="9">
        <v>0.27</v>
      </c>
      <c r="H52" t="s">
        <v>20</v>
      </c>
      <c r="I52" t="s">
        <v>191</v>
      </c>
      <c r="J52" s="13" t="s">
        <v>37</v>
      </c>
      <c r="K52">
        <v>6</v>
      </c>
      <c r="L52" t="s">
        <v>16</v>
      </c>
      <c r="M52">
        <f>Table1[[#This Row],[UnitPrice]]*Table1[[#This Row],[Quantity]]</f>
        <v>16203</v>
      </c>
      <c r="N52">
        <f>Table1[[#This Row],[Total Price]]*Table1[[#This Row],[Discount]]</f>
        <v>4374.8100000000004</v>
      </c>
      <c r="O52">
        <f>Table1[[#This Row],[Total Price]]-Table1[[#This Row],[Discount Amount]]</f>
        <v>11828.189999999999</v>
      </c>
    </row>
    <row r="53" spans="1:15" x14ac:dyDescent="0.3">
      <c r="A53" t="s">
        <v>192</v>
      </c>
      <c r="B53" s="1">
        <v>45656</v>
      </c>
      <c r="C53" t="s">
        <v>193</v>
      </c>
      <c r="D53" t="s">
        <v>25</v>
      </c>
      <c r="E53">
        <v>2</v>
      </c>
      <c r="F53">
        <v>3635</v>
      </c>
      <c r="G53" s="9">
        <v>0.43</v>
      </c>
      <c r="H53" t="s">
        <v>50</v>
      </c>
      <c r="I53" t="s">
        <v>194</v>
      </c>
      <c r="J53" s="14" t="s">
        <v>37</v>
      </c>
      <c r="K53">
        <v>2</v>
      </c>
      <c r="L53" t="s">
        <v>33</v>
      </c>
      <c r="M53">
        <f>Table1[[#This Row],[UnitPrice]]*Table1[[#This Row],[Quantity]]</f>
        <v>7270</v>
      </c>
      <c r="N53">
        <f>Table1[[#This Row],[Total Price]]*Table1[[#This Row],[Discount]]</f>
        <v>3126.1</v>
      </c>
      <c r="O53">
        <f>Table1[[#This Row],[Total Price]]-Table1[[#This Row],[Discount Amount]]</f>
        <v>4143.8999999999996</v>
      </c>
    </row>
    <row r="54" spans="1:15" x14ac:dyDescent="0.3">
      <c r="A54" t="s">
        <v>195</v>
      </c>
      <c r="B54" s="1">
        <v>45543</v>
      </c>
      <c r="C54" t="s">
        <v>196</v>
      </c>
      <c r="D54" t="s">
        <v>25</v>
      </c>
      <c r="E54">
        <v>3</v>
      </c>
      <c r="F54">
        <v>13026</v>
      </c>
      <c r="G54" s="9">
        <v>0.23</v>
      </c>
      <c r="H54" t="s">
        <v>20</v>
      </c>
      <c r="I54" t="s">
        <v>197</v>
      </c>
      <c r="J54" s="13" t="s">
        <v>14</v>
      </c>
      <c r="K54">
        <v>5</v>
      </c>
      <c r="L54" t="s">
        <v>33</v>
      </c>
      <c r="M54">
        <f>Table1[[#This Row],[UnitPrice]]*Table1[[#This Row],[Quantity]]</f>
        <v>39078</v>
      </c>
      <c r="N54">
        <f>Table1[[#This Row],[Total Price]]*Table1[[#This Row],[Discount]]</f>
        <v>8987.94</v>
      </c>
      <c r="O54">
        <f>Table1[[#This Row],[Total Price]]-Table1[[#This Row],[Discount Amount]]</f>
        <v>30090.059999999998</v>
      </c>
    </row>
    <row r="55" spans="1:15" x14ac:dyDescent="0.3">
      <c r="A55" t="s">
        <v>198</v>
      </c>
      <c r="B55" s="1">
        <v>45430</v>
      </c>
      <c r="C55" t="s">
        <v>199</v>
      </c>
      <c r="D55" t="s">
        <v>19</v>
      </c>
      <c r="E55">
        <v>3</v>
      </c>
      <c r="F55">
        <v>33116</v>
      </c>
      <c r="G55" s="9">
        <v>0.3</v>
      </c>
      <c r="H55" t="s">
        <v>20</v>
      </c>
      <c r="I55" t="s">
        <v>200</v>
      </c>
      <c r="J55" s="14" t="s">
        <v>73</v>
      </c>
      <c r="K55">
        <v>5</v>
      </c>
      <c r="L55" t="s">
        <v>60</v>
      </c>
      <c r="M55">
        <f>Table1[[#This Row],[UnitPrice]]*Table1[[#This Row],[Quantity]]</f>
        <v>99348</v>
      </c>
      <c r="N55">
        <f>Table1[[#This Row],[Total Price]]*Table1[[#This Row],[Discount]]</f>
        <v>29804.399999999998</v>
      </c>
      <c r="O55">
        <f>Table1[[#This Row],[Total Price]]-Table1[[#This Row],[Discount Amount]]</f>
        <v>69543.600000000006</v>
      </c>
    </row>
    <row r="56" spans="1:15" x14ac:dyDescent="0.3">
      <c r="A56" t="s">
        <v>201</v>
      </c>
      <c r="B56" s="1">
        <v>45743</v>
      </c>
      <c r="C56" t="s">
        <v>202</v>
      </c>
      <c r="D56" t="s">
        <v>31</v>
      </c>
      <c r="E56">
        <v>2</v>
      </c>
      <c r="F56">
        <v>15990</v>
      </c>
      <c r="G56" s="9">
        <v>0.41</v>
      </c>
      <c r="H56" t="s">
        <v>20</v>
      </c>
      <c r="I56" t="s">
        <v>203</v>
      </c>
      <c r="J56" s="13" t="s">
        <v>73</v>
      </c>
      <c r="K56">
        <v>5</v>
      </c>
      <c r="L56" t="s">
        <v>28</v>
      </c>
      <c r="M56">
        <f>Table1[[#This Row],[UnitPrice]]*Table1[[#This Row],[Quantity]]</f>
        <v>31980</v>
      </c>
      <c r="N56">
        <f>Table1[[#This Row],[Total Price]]*Table1[[#This Row],[Discount]]</f>
        <v>13111.8</v>
      </c>
      <c r="O56">
        <f>Table1[[#This Row],[Total Price]]-Table1[[#This Row],[Discount Amount]]</f>
        <v>18868.2</v>
      </c>
    </row>
    <row r="57" spans="1:15" x14ac:dyDescent="0.3">
      <c r="A57" t="s">
        <v>204</v>
      </c>
      <c r="B57" s="1">
        <v>45832</v>
      </c>
      <c r="C57" t="s">
        <v>205</v>
      </c>
      <c r="D57" t="s">
        <v>36</v>
      </c>
      <c r="E57">
        <v>3</v>
      </c>
      <c r="F57">
        <v>8053</v>
      </c>
      <c r="G57" s="9">
        <v>0.27</v>
      </c>
      <c r="H57" t="s">
        <v>20</v>
      </c>
      <c r="I57" t="s">
        <v>206</v>
      </c>
      <c r="J57" s="14" t="s">
        <v>14</v>
      </c>
      <c r="K57">
        <v>3</v>
      </c>
      <c r="L57" t="s">
        <v>33</v>
      </c>
      <c r="M57">
        <f>Table1[[#This Row],[UnitPrice]]*Table1[[#This Row],[Quantity]]</f>
        <v>24159</v>
      </c>
      <c r="N57">
        <f>Table1[[#This Row],[Total Price]]*Table1[[#This Row],[Discount]]</f>
        <v>6522.93</v>
      </c>
      <c r="O57">
        <f>Table1[[#This Row],[Total Price]]-Table1[[#This Row],[Discount Amount]]</f>
        <v>17636.07</v>
      </c>
    </row>
    <row r="58" spans="1:15" x14ac:dyDescent="0.3">
      <c r="A58" t="s">
        <v>207</v>
      </c>
      <c r="B58" s="1">
        <v>45067</v>
      </c>
      <c r="C58" t="s">
        <v>208</v>
      </c>
      <c r="D58" t="s">
        <v>25</v>
      </c>
      <c r="E58">
        <v>1</v>
      </c>
      <c r="F58">
        <v>5899</v>
      </c>
      <c r="G58" s="9">
        <v>0.37</v>
      </c>
      <c r="H58" t="s">
        <v>50</v>
      </c>
      <c r="I58" t="s">
        <v>209</v>
      </c>
      <c r="J58" s="13" t="s">
        <v>73</v>
      </c>
      <c r="K58">
        <v>5</v>
      </c>
      <c r="L58" t="s">
        <v>22</v>
      </c>
      <c r="M58">
        <f>Table1[[#This Row],[UnitPrice]]*Table1[[#This Row],[Quantity]]</f>
        <v>5899</v>
      </c>
      <c r="N58">
        <f>Table1[[#This Row],[Total Price]]*Table1[[#This Row],[Discount]]</f>
        <v>2182.63</v>
      </c>
      <c r="O58">
        <f>Table1[[#This Row],[Total Price]]-Table1[[#This Row],[Discount Amount]]</f>
        <v>3716.37</v>
      </c>
    </row>
    <row r="59" spans="1:15" x14ac:dyDescent="0.3">
      <c r="A59" t="s">
        <v>210</v>
      </c>
      <c r="B59" s="1">
        <v>44948</v>
      </c>
      <c r="C59" t="s">
        <v>211</v>
      </c>
      <c r="D59" t="s">
        <v>36</v>
      </c>
      <c r="E59">
        <v>3</v>
      </c>
      <c r="F59">
        <v>5101</v>
      </c>
      <c r="G59" s="9">
        <v>0.17</v>
      </c>
      <c r="H59" t="s">
        <v>50</v>
      </c>
      <c r="I59" t="s">
        <v>212</v>
      </c>
      <c r="J59" s="14" t="s">
        <v>73</v>
      </c>
      <c r="K59">
        <v>6</v>
      </c>
      <c r="L59" t="s">
        <v>16</v>
      </c>
      <c r="M59">
        <f>Table1[[#This Row],[UnitPrice]]*Table1[[#This Row],[Quantity]]</f>
        <v>15303</v>
      </c>
      <c r="N59">
        <f>Table1[[#This Row],[Total Price]]*Table1[[#This Row],[Discount]]</f>
        <v>2601.5100000000002</v>
      </c>
      <c r="O59">
        <f>Table1[[#This Row],[Total Price]]-Table1[[#This Row],[Discount Amount]]</f>
        <v>12701.49</v>
      </c>
    </row>
    <row r="60" spans="1:15" x14ac:dyDescent="0.3">
      <c r="A60" t="s">
        <v>213</v>
      </c>
      <c r="B60" s="1">
        <v>44941</v>
      </c>
      <c r="C60" t="s">
        <v>214</v>
      </c>
      <c r="D60" t="s">
        <v>19</v>
      </c>
      <c r="E60">
        <v>3</v>
      </c>
      <c r="F60">
        <v>40513</v>
      </c>
      <c r="G60" s="9">
        <v>0.37</v>
      </c>
      <c r="H60" t="s">
        <v>45</v>
      </c>
      <c r="I60" t="s">
        <v>215</v>
      </c>
      <c r="J60" s="13" t="s">
        <v>37</v>
      </c>
      <c r="K60">
        <v>6</v>
      </c>
      <c r="L60" t="s">
        <v>60</v>
      </c>
      <c r="M60">
        <f>Table1[[#This Row],[UnitPrice]]*Table1[[#This Row],[Quantity]]</f>
        <v>121539</v>
      </c>
      <c r="N60">
        <f>Table1[[#This Row],[Total Price]]*Table1[[#This Row],[Discount]]</f>
        <v>44969.43</v>
      </c>
      <c r="O60">
        <f>Table1[[#This Row],[Total Price]]-Table1[[#This Row],[Discount Amount]]</f>
        <v>76569.570000000007</v>
      </c>
    </row>
    <row r="61" spans="1:15" x14ac:dyDescent="0.3">
      <c r="A61" t="s">
        <v>216</v>
      </c>
      <c r="B61" s="1">
        <v>45546</v>
      </c>
      <c r="C61" t="s">
        <v>217</v>
      </c>
      <c r="D61" t="s">
        <v>31</v>
      </c>
      <c r="E61">
        <v>2</v>
      </c>
      <c r="F61">
        <v>17071</v>
      </c>
      <c r="G61" s="9">
        <v>0.02</v>
      </c>
      <c r="H61" t="s">
        <v>20</v>
      </c>
      <c r="I61" t="s">
        <v>218</v>
      </c>
      <c r="J61" s="14" t="s">
        <v>14</v>
      </c>
      <c r="K61">
        <v>5</v>
      </c>
      <c r="L61" t="s">
        <v>33</v>
      </c>
      <c r="M61">
        <f>Table1[[#This Row],[UnitPrice]]*Table1[[#This Row],[Quantity]]</f>
        <v>34142</v>
      </c>
      <c r="N61">
        <f>Table1[[#This Row],[Total Price]]*Table1[[#This Row],[Discount]]</f>
        <v>682.84</v>
      </c>
      <c r="O61">
        <f>Table1[[#This Row],[Total Price]]-Table1[[#This Row],[Discount Amount]]</f>
        <v>33459.160000000003</v>
      </c>
    </row>
    <row r="62" spans="1:15" x14ac:dyDescent="0.3">
      <c r="A62" t="s">
        <v>219</v>
      </c>
      <c r="B62" s="1">
        <v>45525</v>
      </c>
      <c r="C62" t="s">
        <v>220</v>
      </c>
      <c r="D62" t="s">
        <v>58</v>
      </c>
      <c r="E62">
        <v>1</v>
      </c>
      <c r="F62">
        <v>8378</v>
      </c>
      <c r="G62" s="9">
        <v>0.08</v>
      </c>
      <c r="H62" t="s">
        <v>13</v>
      </c>
      <c r="I62" t="s">
        <v>221</v>
      </c>
      <c r="J62" s="13" t="s">
        <v>37</v>
      </c>
      <c r="K62">
        <v>3</v>
      </c>
      <c r="L62" t="s">
        <v>22</v>
      </c>
      <c r="M62">
        <f>Table1[[#This Row],[UnitPrice]]*Table1[[#This Row],[Quantity]]</f>
        <v>8378</v>
      </c>
      <c r="N62">
        <f>Table1[[#This Row],[Total Price]]*Table1[[#This Row],[Discount]]</f>
        <v>670.24</v>
      </c>
      <c r="O62">
        <f>Table1[[#This Row],[Total Price]]-Table1[[#This Row],[Discount Amount]]</f>
        <v>7707.76</v>
      </c>
    </row>
    <row r="63" spans="1:15" x14ac:dyDescent="0.3">
      <c r="A63" t="s">
        <v>222</v>
      </c>
      <c r="B63" s="1">
        <v>45375</v>
      </c>
      <c r="C63" t="s">
        <v>223</v>
      </c>
      <c r="D63" t="s">
        <v>58</v>
      </c>
      <c r="E63">
        <v>1</v>
      </c>
      <c r="F63">
        <v>8187</v>
      </c>
      <c r="G63" s="9">
        <v>0.32</v>
      </c>
      <c r="H63" t="s">
        <v>50</v>
      </c>
      <c r="I63" t="s">
        <v>224</v>
      </c>
      <c r="J63" s="14" t="s">
        <v>37</v>
      </c>
      <c r="K63">
        <v>7</v>
      </c>
      <c r="L63" t="s">
        <v>33</v>
      </c>
      <c r="M63">
        <f>Table1[[#This Row],[UnitPrice]]*Table1[[#This Row],[Quantity]]</f>
        <v>8187</v>
      </c>
      <c r="N63">
        <f>Table1[[#This Row],[Total Price]]*Table1[[#This Row],[Discount]]</f>
        <v>2619.84</v>
      </c>
      <c r="O63">
        <f>Table1[[#This Row],[Total Price]]-Table1[[#This Row],[Discount Amount]]</f>
        <v>5567.16</v>
      </c>
    </row>
    <row r="64" spans="1:15" x14ac:dyDescent="0.3">
      <c r="A64" t="s">
        <v>225</v>
      </c>
      <c r="B64" s="1">
        <v>45160</v>
      </c>
      <c r="C64" t="s">
        <v>226</v>
      </c>
      <c r="D64" t="s">
        <v>58</v>
      </c>
      <c r="E64">
        <v>1</v>
      </c>
      <c r="F64">
        <v>6973</v>
      </c>
      <c r="G64" s="9">
        <v>0.22</v>
      </c>
      <c r="H64" t="s">
        <v>13</v>
      </c>
      <c r="I64" t="s">
        <v>227</v>
      </c>
      <c r="J64" s="13" t="s">
        <v>73</v>
      </c>
      <c r="K64">
        <v>3</v>
      </c>
      <c r="L64" t="s">
        <v>28</v>
      </c>
      <c r="M64">
        <f>Table1[[#This Row],[UnitPrice]]*Table1[[#This Row],[Quantity]]</f>
        <v>6973</v>
      </c>
      <c r="N64">
        <f>Table1[[#This Row],[Total Price]]*Table1[[#This Row],[Discount]]</f>
        <v>1534.06</v>
      </c>
      <c r="O64">
        <f>Table1[[#This Row],[Total Price]]-Table1[[#This Row],[Discount Amount]]</f>
        <v>5438.9400000000005</v>
      </c>
    </row>
    <row r="65" spans="1:15" x14ac:dyDescent="0.3">
      <c r="A65" t="s">
        <v>228</v>
      </c>
      <c r="B65" s="1">
        <v>45690</v>
      </c>
      <c r="C65" t="s">
        <v>229</v>
      </c>
      <c r="D65" t="s">
        <v>31</v>
      </c>
      <c r="E65">
        <v>2</v>
      </c>
      <c r="F65">
        <v>17401</v>
      </c>
      <c r="G65" s="9">
        <v>0.41</v>
      </c>
      <c r="H65" t="s">
        <v>13</v>
      </c>
      <c r="I65" t="s">
        <v>230</v>
      </c>
      <c r="J65" s="14" t="s">
        <v>14</v>
      </c>
      <c r="K65">
        <v>6</v>
      </c>
      <c r="L65" t="s">
        <v>22</v>
      </c>
      <c r="M65">
        <f>Table1[[#This Row],[UnitPrice]]*Table1[[#This Row],[Quantity]]</f>
        <v>34802</v>
      </c>
      <c r="N65">
        <f>Table1[[#This Row],[Total Price]]*Table1[[#This Row],[Discount]]</f>
        <v>14268.82</v>
      </c>
      <c r="O65">
        <f>Table1[[#This Row],[Total Price]]-Table1[[#This Row],[Discount Amount]]</f>
        <v>20533.18</v>
      </c>
    </row>
    <row r="66" spans="1:15" x14ac:dyDescent="0.3">
      <c r="A66" t="s">
        <v>231</v>
      </c>
      <c r="B66" s="1">
        <v>45833</v>
      </c>
      <c r="C66" t="s">
        <v>232</v>
      </c>
      <c r="D66" t="s">
        <v>36</v>
      </c>
      <c r="E66">
        <v>1</v>
      </c>
      <c r="F66">
        <v>5234</v>
      </c>
      <c r="G66" s="9">
        <v>0.17</v>
      </c>
      <c r="H66" t="s">
        <v>13</v>
      </c>
      <c r="I66" t="s">
        <v>233</v>
      </c>
      <c r="J66" s="13" t="s">
        <v>73</v>
      </c>
      <c r="K66">
        <v>4</v>
      </c>
      <c r="L66" t="s">
        <v>33</v>
      </c>
      <c r="M66">
        <f>Table1[[#This Row],[UnitPrice]]*Table1[[#This Row],[Quantity]]</f>
        <v>5234</v>
      </c>
      <c r="N66">
        <f>Table1[[#This Row],[Total Price]]*Table1[[#This Row],[Discount]]</f>
        <v>889.78000000000009</v>
      </c>
      <c r="O66">
        <f>Table1[[#This Row],[Total Price]]-Table1[[#This Row],[Discount Amount]]</f>
        <v>4344.22</v>
      </c>
    </row>
    <row r="67" spans="1:15" x14ac:dyDescent="0.3">
      <c r="A67" t="s">
        <v>234</v>
      </c>
      <c r="B67" s="1">
        <v>45290</v>
      </c>
      <c r="C67" t="s">
        <v>235</v>
      </c>
      <c r="D67" t="s">
        <v>12</v>
      </c>
      <c r="E67">
        <v>3</v>
      </c>
      <c r="F67">
        <v>9187</v>
      </c>
      <c r="G67" s="9">
        <v>0.38</v>
      </c>
      <c r="H67" t="s">
        <v>26</v>
      </c>
      <c r="I67" t="s">
        <v>236</v>
      </c>
      <c r="J67" s="14" t="s">
        <v>37</v>
      </c>
      <c r="K67">
        <v>6</v>
      </c>
      <c r="L67" t="s">
        <v>16</v>
      </c>
      <c r="M67">
        <f>Table1[[#This Row],[UnitPrice]]*Table1[[#This Row],[Quantity]]</f>
        <v>27561</v>
      </c>
      <c r="N67">
        <f>Table1[[#This Row],[Total Price]]*Table1[[#This Row],[Discount]]</f>
        <v>10473.18</v>
      </c>
      <c r="O67">
        <f>Table1[[#This Row],[Total Price]]-Table1[[#This Row],[Discount Amount]]</f>
        <v>17087.82</v>
      </c>
    </row>
    <row r="68" spans="1:15" x14ac:dyDescent="0.3">
      <c r="A68" t="s">
        <v>237</v>
      </c>
      <c r="B68" s="1">
        <v>45611</v>
      </c>
      <c r="C68" t="s">
        <v>238</v>
      </c>
      <c r="D68" t="s">
        <v>31</v>
      </c>
      <c r="E68">
        <v>1</v>
      </c>
      <c r="F68">
        <v>23963</v>
      </c>
      <c r="G68" s="9">
        <v>7.0000000000000007E-2</v>
      </c>
      <c r="H68" t="s">
        <v>50</v>
      </c>
      <c r="I68" t="s">
        <v>239</v>
      </c>
      <c r="J68" s="13" t="s">
        <v>73</v>
      </c>
      <c r="K68">
        <v>9</v>
      </c>
      <c r="L68" t="s">
        <v>22</v>
      </c>
      <c r="M68">
        <f>Table1[[#This Row],[UnitPrice]]*Table1[[#This Row],[Quantity]]</f>
        <v>23963</v>
      </c>
      <c r="N68">
        <f>Table1[[#This Row],[Total Price]]*Table1[[#This Row],[Discount]]</f>
        <v>1677.41</v>
      </c>
      <c r="O68">
        <f>Table1[[#This Row],[Total Price]]-Table1[[#This Row],[Discount Amount]]</f>
        <v>22285.59</v>
      </c>
    </row>
    <row r="69" spans="1:15" x14ac:dyDescent="0.3">
      <c r="A69" t="s">
        <v>240</v>
      </c>
      <c r="B69" s="1">
        <v>45635</v>
      </c>
      <c r="C69" t="s">
        <v>241</v>
      </c>
      <c r="D69" t="s">
        <v>36</v>
      </c>
      <c r="E69">
        <v>3</v>
      </c>
      <c r="F69">
        <v>8102</v>
      </c>
      <c r="G69" s="9">
        <v>0.47</v>
      </c>
      <c r="H69" t="s">
        <v>13</v>
      </c>
      <c r="I69" t="s">
        <v>242</v>
      </c>
      <c r="J69" s="14" t="s">
        <v>14</v>
      </c>
      <c r="K69">
        <v>8</v>
      </c>
      <c r="L69" t="s">
        <v>60</v>
      </c>
      <c r="M69">
        <f>Table1[[#This Row],[UnitPrice]]*Table1[[#This Row],[Quantity]]</f>
        <v>24306</v>
      </c>
      <c r="N69">
        <f>Table1[[#This Row],[Total Price]]*Table1[[#This Row],[Discount]]</f>
        <v>11423.82</v>
      </c>
      <c r="O69">
        <f>Table1[[#This Row],[Total Price]]-Table1[[#This Row],[Discount Amount]]</f>
        <v>12882.18</v>
      </c>
    </row>
    <row r="70" spans="1:15" x14ac:dyDescent="0.3">
      <c r="A70" t="s">
        <v>243</v>
      </c>
      <c r="B70" s="1">
        <v>45271</v>
      </c>
      <c r="C70" t="s">
        <v>244</v>
      </c>
      <c r="D70" t="s">
        <v>31</v>
      </c>
      <c r="E70">
        <v>1</v>
      </c>
      <c r="F70">
        <v>22818</v>
      </c>
      <c r="G70" s="9">
        <v>0.21</v>
      </c>
      <c r="H70" t="s">
        <v>26</v>
      </c>
      <c r="I70" t="s">
        <v>245</v>
      </c>
      <c r="J70" s="13" t="s">
        <v>73</v>
      </c>
      <c r="K70">
        <v>5</v>
      </c>
      <c r="L70" t="s">
        <v>28</v>
      </c>
      <c r="M70">
        <f>Table1[[#This Row],[UnitPrice]]*Table1[[#This Row],[Quantity]]</f>
        <v>22818</v>
      </c>
      <c r="N70">
        <f>Table1[[#This Row],[Total Price]]*Table1[[#This Row],[Discount]]</f>
        <v>4791.78</v>
      </c>
      <c r="O70">
        <f>Table1[[#This Row],[Total Price]]-Table1[[#This Row],[Discount Amount]]</f>
        <v>18026.22</v>
      </c>
    </row>
    <row r="71" spans="1:15" x14ac:dyDescent="0.3">
      <c r="A71" t="s">
        <v>246</v>
      </c>
      <c r="B71" s="1">
        <v>45057</v>
      </c>
      <c r="C71" t="s">
        <v>247</v>
      </c>
      <c r="D71" t="s">
        <v>12</v>
      </c>
      <c r="E71">
        <v>1</v>
      </c>
      <c r="F71">
        <v>4558</v>
      </c>
      <c r="G71" s="9">
        <v>0.12</v>
      </c>
      <c r="H71" t="s">
        <v>20</v>
      </c>
      <c r="I71" t="s">
        <v>248</v>
      </c>
      <c r="J71" s="14" t="s">
        <v>14</v>
      </c>
      <c r="K71">
        <v>4</v>
      </c>
      <c r="L71" t="s">
        <v>22</v>
      </c>
      <c r="M71">
        <f>Table1[[#This Row],[UnitPrice]]*Table1[[#This Row],[Quantity]]</f>
        <v>4558</v>
      </c>
      <c r="N71">
        <f>Table1[[#This Row],[Total Price]]*Table1[[#This Row],[Discount]]</f>
        <v>546.96</v>
      </c>
      <c r="O71">
        <f>Table1[[#This Row],[Total Price]]-Table1[[#This Row],[Discount Amount]]</f>
        <v>4011.04</v>
      </c>
    </row>
    <row r="72" spans="1:15" x14ac:dyDescent="0.3">
      <c r="A72" t="s">
        <v>249</v>
      </c>
      <c r="B72" s="1">
        <v>45072</v>
      </c>
      <c r="C72" t="s">
        <v>250</v>
      </c>
      <c r="D72" t="s">
        <v>58</v>
      </c>
      <c r="E72">
        <v>1</v>
      </c>
      <c r="F72">
        <v>6093</v>
      </c>
      <c r="G72" s="9">
        <v>0.39</v>
      </c>
      <c r="H72" t="s">
        <v>45</v>
      </c>
      <c r="I72" t="s">
        <v>251</v>
      </c>
      <c r="J72" s="13" t="s">
        <v>73</v>
      </c>
      <c r="K72">
        <v>2</v>
      </c>
      <c r="L72" t="s">
        <v>16</v>
      </c>
      <c r="M72">
        <f>Table1[[#This Row],[UnitPrice]]*Table1[[#This Row],[Quantity]]</f>
        <v>6093</v>
      </c>
      <c r="N72">
        <f>Table1[[#This Row],[Total Price]]*Table1[[#This Row],[Discount]]</f>
        <v>2376.27</v>
      </c>
      <c r="O72">
        <f>Table1[[#This Row],[Total Price]]-Table1[[#This Row],[Discount Amount]]</f>
        <v>3716.73</v>
      </c>
    </row>
    <row r="73" spans="1:15" x14ac:dyDescent="0.3">
      <c r="A73" t="s">
        <v>252</v>
      </c>
      <c r="B73" s="1">
        <v>45818</v>
      </c>
      <c r="C73" t="s">
        <v>253</v>
      </c>
      <c r="D73" t="s">
        <v>12</v>
      </c>
      <c r="E73">
        <v>3</v>
      </c>
      <c r="F73">
        <v>8587</v>
      </c>
      <c r="G73" s="9">
        <v>0.47</v>
      </c>
      <c r="H73" t="s">
        <v>26</v>
      </c>
      <c r="I73" t="s">
        <v>254</v>
      </c>
      <c r="J73" s="14" t="s">
        <v>73</v>
      </c>
      <c r="K73">
        <v>4</v>
      </c>
      <c r="L73" t="s">
        <v>22</v>
      </c>
      <c r="M73">
        <f>Table1[[#This Row],[UnitPrice]]*Table1[[#This Row],[Quantity]]</f>
        <v>25761</v>
      </c>
      <c r="N73">
        <f>Table1[[#This Row],[Total Price]]*Table1[[#This Row],[Discount]]</f>
        <v>12107.67</v>
      </c>
      <c r="O73">
        <f>Table1[[#This Row],[Total Price]]-Table1[[#This Row],[Discount Amount]]</f>
        <v>13653.33</v>
      </c>
    </row>
    <row r="74" spans="1:15" x14ac:dyDescent="0.3">
      <c r="A74" t="s">
        <v>255</v>
      </c>
      <c r="B74" s="1">
        <v>45648</v>
      </c>
      <c r="C74" t="s">
        <v>256</v>
      </c>
      <c r="D74" t="s">
        <v>25</v>
      </c>
      <c r="E74">
        <v>3</v>
      </c>
      <c r="F74">
        <v>3180</v>
      </c>
      <c r="G74" s="9">
        <v>0.46</v>
      </c>
      <c r="H74" t="s">
        <v>45</v>
      </c>
      <c r="I74" t="s">
        <v>257</v>
      </c>
      <c r="J74" s="13" t="s">
        <v>14</v>
      </c>
      <c r="K74">
        <v>5</v>
      </c>
      <c r="L74" t="s">
        <v>33</v>
      </c>
      <c r="M74">
        <f>Table1[[#This Row],[UnitPrice]]*Table1[[#This Row],[Quantity]]</f>
        <v>9540</v>
      </c>
      <c r="N74">
        <f>Table1[[#This Row],[Total Price]]*Table1[[#This Row],[Discount]]</f>
        <v>4388.4000000000005</v>
      </c>
      <c r="O74">
        <f>Table1[[#This Row],[Total Price]]-Table1[[#This Row],[Discount Amount]]</f>
        <v>5151.5999999999995</v>
      </c>
    </row>
    <row r="75" spans="1:15" x14ac:dyDescent="0.3">
      <c r="A75" t="s">
        <v>258</v>
      </c>
      <c r="B75" s="1">
        <v>45049</v>
      </c>
      <c r="C75" t="s">
        <v>259</v>
      </c>
      <c r="D75" t="s">
        <v>12</v>
      </c>
      <c r="E75">
        <v>1</v>
      </c>
      <c r="F75">
        <v>4836</v>
      </c>
      <c r="G75" s="9">
        <v>0.12</v>
      </c>
      <c r="H75" t="s">
        <v>45</v>
      </c>
      <c r="I75" t="s">
        <v>260</v>
      </c>
      <c r="J75" s="14" t="s">
        <v>14</v>
      </c>
      <c r="K75">
        <v>4</v>
      </c>
      <c r="L75" t="s">
        <v>33</v>
      </c>
      <c r="M75">
        <f>Table1[[#This Row],[UnitPrice]]*Table1[[#This Row],[Quantity]]</f>
        <v>4836</v>
      </c>
      <c r="N75">
        <f>Table1[[#This Row],[Total Price]]*Table1[[#This Row],[Discount]]</f>
        <v>580.31999999999994</v>
      </c>
      <c r="O75">
        <f>Table1[[#This Row],[Total Price]]-Table1[[#This Row],[Discount Amount]]</f>
        <v>4255.68</v>
      </c>
    </row>
    <row r="76" spans="1:15" x14ac:dyDescent="0.3">
      <c r="A76" t="s">
        <v>261</v>
      </c>
      <c r="B76" s="1">
        <v>45101</v>
      </c>
      <c r="C76" t="s">
        <v>262</v>
      </c>
      <c r="D76" t="s">
        <v>19</v>
      </c>
      <c r="E76">
        <v>1</v>
      </c>
      <c r="F76">
        <v>28768</v>
      </c>
      <c r="G76" s="9">
        <v>0.34</v>
      </c>
      <c r="H76" t="s">
        <v>50</v>
      </c>
      <c r="I76" t="s">
        <v>263</v>
      </c>
      <c r="J76" s="13" t="s">
        <v>73</v>
      </c>
      <c r="K76">
        <v>5</v>
      </c>
      <c r="L76" t="s">
        <v>16</v>
      </c>
      <c r="M76">
        <f>Table1[[#This Row],[UnitPrice]]*Table1[[#This Row],[Quantity]]</f>
        <v>28768</v>
      </c>
      <c r="N76">
        <f>Table1[[#This Row],[Total Price]]*Table1[[#This Row],[Discount]]</f>
        <v>9781.1200000000008</v>
      </c>
      <c r="O76">
        <f>Table1[[#This Row],[Total Price]]-Table1[[#This Row],[Discount Amount]]</f>
        <v>18986.879999999997</v>
      </c>
    </row>
    <row r="77" spans="1:15" x14ac:dyDescent="0.3">
      <c r="A77" t="s">
        <v>264</v>
      </c>
      <c r="B77" s="1">
        <v>45195</v>
      </c>
      <c r="C77" t="s">
        <v>265</v>
      </c>
      <c r="D77" t="s">
        <v>25</v>
      </c>
      <c r="E77">
        <v>3</v>
      </c>
      <c r="F77">
        <v>13533</v>
      </c>
      <c r="G77" s="9">
        <v>0.27</v>
      </c>
      <c r="H77" t="s">
        <v>13</v>
      </c>
      <c r="I77" t="s">
        <v>266</v>
      </c>
      <c r="J77" s="14" t="s">
        <v>37</v>
      </c>
      <c r="K77">
        <v>5</v>
      </c>
      <c r="L77" t="s">
        <v>28</v>
      </c>
      <c r="M77">
        <f>Table1[[#This Row],[UnitPrice]]*Table1[[#This Row],[Quantity]]</f>
        <v>40599</v>
      </c>
      <c r="N77">
        <f>Table1[[#This Row],[Total Price]]*Table1[[#This Row],[Discount]]</f>
        <v>10961.730000000001</v>
      </c>
      <c r="O77">
        <f>Table1[[#This Row],[Total Price]]-Table1[[#This Row],[Discount Amount]]</f>
        <v>29637.269999999997</v>
      </c>
    </row>
    <row r="78" spans="1:15" x14ac:dyDescent="0.3">
      <c r="A78" t="s">
        <v>267</v>
      </c>
      <c r="B78" s="1">
        <v>45382</v>
      </c>
      <c r="C78" t="s">
        <v>268</v>
      </c>
      <c r="D78" t="s">
        <v>44</v>
      </c>
      <c r="E78">
        <v>1</v>
      </c>
      <c r="F78">
        <v>25270</v>
      </c>
      <c r="G78" s="9">
        <v>0.36</v>
      </c>
      <c r="H78" t="s">
        <v>50</v>
      </c>
      <c r="I78" t="s">
        <v>269</v>
      </c>
      <c r="J78" s="13" t="s">
        <v>14</v>
      </c>
      <c r="K78">
        <v>6</v>
      </c>
      <c r="L78" t="s">
        <v>28</v>
      </c>
      <c r="M78">
        <f>Table1[[#This Row],[UnitPrice]]*Table1[[#This Row],[Quantity]]</f>
        <v>25270</v>
      </c>
      <c r="N78">
        <f>Table1[[#This Row],[Total Price]]*Table1[[#This Row],[Discount]]</f>
        <v>9097.1999999999989</v>
      </c>
      <c r="O78">
        <f>Table1[[#This Row],[Total Price]]-Table1[[#This Row],[Discount Amount]]</f>
        <v>16172.800000000001</v>
      </c>
    </row>
    <row r="79" spans="1:15" x14ac:dyDescent="0.3">
      <c r="A79" t="s">
        <v>270</v>
      </c>
      <c r="B79" s="1">
        <v>45436</v>
      </c>
      <c r="C79" t="s">
        <v>271</v>
      </c>
      <c r="D79" t="s">
        <v>19</v>
      </c>
      <c r="E79">
        <v>2</v>
      </c>
      <c r="F79">
        <v>19684</v>
      </c>
      <c r="G79" s="9">
        <v>0.24</v>
      </c>
      <c r="H79" t="s">
        <v>26</v>
      </c>
      <c r="I79" t="s">
        <v>272</v>
      </c>
      <c r="J79" s="14" t="s">
        <v>37</v>
      </c>
      <c r="K79">
        <v>5</v>
      </c>
      <c r="L79" t="s">
        <v>60</v>
      </c>
      <c r="M79">
        <f>Table1[[#This Row],[UnitPrice]]*Table1[[#This Row],[Quantity]]</f>
        <v>39368</v>
      </c>
      <c r="N79">
        <f>Table1[[#This Row],[Total Price]]*Table1[[#This Row],[Discount]]</f>
        <v>9448.32</v>
      </c>
      <c r="O79">
        <f>Table1[[#This Row],[Total Price]]-Table1[[#This Row],[Discount Amount]]</f>
        <v>29919.68</v>
      </c>
    </row>
    <row r="80" spans="1:15" x14ac:dyDescent="0.3">
      <c r="A80" t="s">
        <v>273</v>
      </c>
      <c r="B80" s="1">
        <v>45510</v>
      </c>
      <c r="C80" t="s">
        <v>274</v>
      </c>
      <c r="D80" t="s">
        <v>36</v>
      </c>
      <c r="E80">
        <v>2</v>
      </c>
      <c r="F80">
        <v>5340</v>
      </c>
      <c r="G80" s="9">
        <v>0.23</v>
      </c>
      <c r="H80" t="s">
        <v>13</v>
      </c>
      <c r="I80" t="s">
        <v>275</v>
      </c>
      <c r="J80" s="13" t="s">
        <v>37</v>
      </c>
      <c r="K80">
        <v>4</v>
      </c>
      <c r="L80" t="s">
        <v>16</v>
      </c>
      <c r="M80">
        <f>Table1[[#This Row],[UnitPrice]]*Table1[[#This Row],[Quantity]]</f>
        <v>10680</v>
      </c>
      <c r="N80">
        <f>Table1[[#This Row],[Total Price]]*Table1[[#This Row],[Discount]]</f>
        <v>2456.4</v>
      </c>
      <c r="O80">
        <f>Table1[[#This Row],[Total Price]]-Table1[[#This Row],[Discount Amount]]</f>
        <v>8223.6</v>
      </c>
    </row>
    <row r="81" spans="1:15" x14ac:dyDescent="0.3">
      <c r="A81" t="s">
        <v>276</v>
      </c>
      <c r="B81" s="1">
        <v>45726</v>
      </c>
      <c r="C81" t="s">
        <v>277</v>
      </c>
      <c r="D81" t="s">
        <v>25</v>
      </c>
      <c r="E81">
        <v>3</v>
      </c>
      <c r="F81">
        <v>14068</v>
      </c>
      <c r="G81" s="9">
        <v>0.44</v>
      </c>
      <c r="H81" t="s">
        <v>20</v>
      </c>
      <c r="I81" t="s">
        <v>278</v>
      </c>
      <c r="J81" s="14" t="s">
        <v>14</v>
      </c>
      <c r="K81">
        <v>2</v>
      </c>
      <c r="L81" t="s">
        <v>33</v>
      </c>
      <c r="M81">
        <f>Table1[[#This Row],[UnitPrice]]*Table1[[#This Row],[Quantity]]</f>
        <v>42204</v>
      </c>
      <c r="N81">
        <f>Table1[[#This Row],[Total Price]]*Table1[[#This Row],[Discount]]</f>
        <v>18569.759999999998</v>
      </c>
      <c r="O81">
        <f>Table1[[#This Row],[Total Price]]-Table1[[#This Row],[Discount Amount]]</f>
        <v>23634.240000000002</v>
      </c>
    </row>
    <row r="82" spans="1:15" x14ac:dyDescent="0.3">
      <c r="A82" t="s">
        <v>279</v>
      </c>
      <c r="B82" s="1">
        <v>45104</v>
      </c>
      <c r="C82" t="s">
        <v>280</v>
      </c>
      <c r="D82" t="s">
        <v>19</v>
      </c>
      <c r="E82">
        <v>1</v>
      </c>
      <c r="F82">
        <v>34624</v>
      </c>
      <c r="G82" s="9">
        <v>0.44</v>
      </c>
      <c r="H82" t="s">
        <v>20</v>
      </c>
      <c r="I82" t="s">
        <v>281</v>
      </c>
      <c r="J82" s="13" t="s">
        <v>14</v>
      </c>
      <c r="K82">
        <v>6</v>
      </c>
      <c r="L82" t="s">
        <v>33</v>
      </c>
      <c r="M82">
        <f>Table1[[#This Row],[UnitPrice]]*Table1[[#This Row],[Quantity]]</f>
        <v>34624</v>
      </c>
      <c r="N82">
        <f>Table1[[#This Row],[Total Price]]*Table1[[#This Row],[Discount]]</f>
        <v>15234.56</v>
      </c>
      <c r="O82">
        <f>Table1[[#This Row],[Total Price]]-Table1[[#This Row],[Discount Amount]]</f>
        <v>19389.440000000002</v>
      </c>
    </row>
    <row r="83" spans="1:15" x14ac:dyDescent="0.3">
      <c r="A83" t="s">
        <v>282</v>
      </c>
      <c r="B83" s="1">
        <v>45085</v>
      </c>
      <c r="C83" t="s">
        <v>283</v>
      </c>
      <c r="D83" t="s">
        <v>12</v>
      </c>
      <c r="E83">
        <v>2</v>
      </c>
      <c r="F83">
        <v>4199</v>
      </c>
      <c r="G83" s="9">
        <v>0.39</v>
      </c>
      <c r="H83" t="s">
        <v>50</v>
      </c>
      <c r="I83" t="s">
        <v>284</v>
      </c>
      <c r="J83" s="14" t="s">
        <v>14</v>
      </c>
      <c r="K83">
        <v>6</v>
      </c>
      <c r="L83" t="s">
        <v>28</v>
      </c>
      <c r="M83">
        <f>Table1[[#This Row],[UnitPrice]]*Table1[[#This Row],[Quantity]]</f>
        <v>8398</v>
      </c>
      <c r="N83">
        <f>Table1[[#This Row],[Total Price]]*Table1[[#This Row],[Discount]]</f>
        <v>3275.2200000000003</v>
      </c>
      <c r="O83">
        <f>Table1[[#This Row],[Total Price]]-Table1[[#This Row],[Discount Amount]]</f>
        <v>5122.78</v>
      </c>
    </row>
    <row r="84" spans="1:15" x14ac:dyDescent="0.3">
      <c r="A84" t="s">
        <v>285</v>
      </c>
      <c r="B84" s="1">
        <v>45296</v>
      </c>
      <c r="C84" t="s">
        <v>286</v>
      </c>
      <c r="D84" t="s">
        <v>25</v>
      </c>
      <c r="E84">
        <v>1</v>
      </c>
      <c r="F84">
        <v>9802</v>
      </c>
      <c r="G84" s="9">
        <v>0.35</v>
      </c>
      <c r="H84" t="s">
        <v>13</v>
      </c>
      <c r="I84" t="s">
        <v>287</v>
      </c>
      <c r="J84" s="13" t="s">
        <v>14</v>
      </c>
      <c r="K84">
        <v>9</v>
      </c>
      <c r="L84" t="s">
        <v>60</v>
      </c>
      <c r="M84">
        <f>Table1[[#This Row],[UnitPrice]]*Table1[[#This Row],[Quantity]]</f>
        <v>9802</v>
      </c>
      <c r="N84">
        <f>Table1[[#This Row],[Total Price]]*Table1[[#This Row],[Discount]]</f>
        <v>3430.7</v>
      </c>
      <c r="O84">
        <f>Table1[[#This Row],[Total Price]]-Table1[[#This Row],[Discount Amount]]</f>
        <v>6371.3</v>
      </c>
    </row>
    <row r="85" spans="1:15" x14ac:dyDescent="0.3">
      <c r="A85" t="s">
        <v>288</v>
      </c>
      <c r="B85" s="1">
        <v>45160</v>
      </c>
      <c r="C85" t="s">
        <v>289</v>
      </c>
      <c r="D85" t="s">
        <v>44</v>
      </c>
      <c r="E85">
        <v>3</v>
      </c>
      <c r="F85">
        <v>63638</v>
      </c>
      <c r="G85" s="9">
        <v>0.34</v>
      </c>
      <c r="H85" t="s">
        <v>26</v>
      </c>
      <c r="I85" t="s">
        <v>290</v>
      </c>
      <c r="J85" s="14" t="s">
        <v>37</v>
      </c>
      <c r="K85">
        <v>6</v>
      </c>
      <c r="L85" t="s">
        <v>22</v>
      </c>
      <c r="M85">
        <f>Table1[[#This Row],[UnitPrice]]*Table1[[#This Row],[Quantity]]</f>
        <v>190914</v>
      </c>
      <c r="N85">
        <f>Table1[[#This Row],[Total Price]]*Table1[[#This Row],[Discount]]</f>
        <v>64910.76</v>
      </c>
      <c r="O85">
        <f>Table1[[#This Row],[Total Price]]-Table1[[#This Row],[Discount Amount]]</f>
        <v>126003.23999999999</v>
      </c>
    </row>
    <row r="86" spans="1:15" x14ac:dyDescent="0.3">
      <c r="A86" t="s">
        <v>291</v>
      </c>
      <c r="B86" s="1">
        <v>45166</v>
      </c>
      <c r="C86" t="s">
        <v>292</v>
      </c>
      <c r="D86" t="s">
        <v>12</v>
      </c>
      <c r="E86">
        <v>3</v>
      </c>
      <c r="F86">
        <v>2850</v>
      </c>
      <c r="G86" s="9">
        <v>0.03</v>
      </c>
      <c r="H86" t="s">
        <v>20</v>
      </c>
      <c r="I86" t="s">
        <v>293</v>
      </c>
      <c r="J86" s="13" t="s">
        <v>14</v>
      </c>
      <c r="K86">
        <v>4</v>
      </c>
      <c r="L86" t="s">
        <v>16</v>
      </c>
      <c r="M86">
        <f>Table1[[#This Row],[UnitPrice]]*Table1[[#This Row],[Quantity]]</f>
        <v>8550</v>
      </c>
      <c r="N86">
        <f>Table1[[#This Row],[Total Price]]*Table1[[#This Row],[Discount]]</f>
        <v>256.5</v>
      </c>
      <c r="O86">
        <f>Table1[[#This Row],[Total Price]]-Table1[[#This Row],[Discount Amount]]</f>
        <v>8293.5</v>
      </c>
    </row>
    <row r="87" spans="1:15" x14ac:dyDescent="0.3">
      <c r="A87" t="s">
        <v>294</v>
      </c>
      <c r="B87" s="1">
        <v>45544</v>
      </c>
      <c r="C87" t="s">
        <v>295</v>
      </c>
      <c r="D87" t="s">
        <v>25</v>
      </c>
      <c r="E87">
        <v>1</v>
      </c>
      <c r="F87">
        <v>13006</v>
      </c>
      <c r="G87" s="9">
        <v>0.37</v>
      </c>
      <c r="H87" t="s">
        <v>50</v>
      </c>
      <c r="I87" t="s">
        <v>296</v>
      </c>
      <c r="J87" s="14" t="s">
        <v>37</v>
      </c>
      <c r="K87">
        <v>8</v>
      </c>
      <c r="L87" t="s">
        <v>28</v>
      </c>
      <c r="M87">
        <f>Table1[[#This Row],[UnitPrice]]*Table1[[#This Row],[Quantity]]</f>
        <v>13006</v>
      </c>
      <c r="N87">
        <f>Table1[[#This Row],[Total Price]]*Table1[[#This Row],[Discount]]</f>
        <v>4812.22</v>
      </c>
      <c r="O87">
        <f>Table1[[#This Row],[Total Price]]-Table1[[#This Row],[Discount Amount]]</f>
        <v>8193.7799999999988</v>
      </c>
    </row>
    <row r="88" spans="1:15" x14ac:dyDescent="0.3">
      <c r="A88" t="s">
        <v>297</v>
      </c>
      <c r="B88" s="1">
        <v>45462</v>
      </c>
      <c r="C88" t="s">
        <v>298</v>
      </c>
      <c r="D88" t="s">
        <v>36</v>
      </c>
      <c r="E88">
        <v>2</v>
      </c>
      <c r="F88">
        <v>8692</v>
      </c>
      <c r="G88" s="9">
        <v>0.32</v>
      </c>
      <c r="H88" t="s">
        <v>20</v>
      </c>
      <c r="I88" t="s">
        <v>299</v>
      </c>
      <c r="J88" s="13" t="s">
        <v>14</v>
      </c>
      <c r="K88">
        <v>5</v>
      </c>
      <c r="L88" t="s">
        <v>22</v>
      </c>
      <c r="M88">
        <f>Table1[[#This Row],[UnitPrice]]*Table1[[#This Row],[Quantity]]</f>
        <v>17384</v>
      </c>
      <c r="N88">
        <f>Table1[[#This Row],[Total Price]]*Table1[[#This Row],[Discount]]</f>
        <v>5562.88</v>
      </c>
      <c r="O88">
        <f>Table1[[#This Row],[Total Price]]-Table1[[#This Row],[Discount Amount]]</f>
        <v>11821.119999999999</v>
      </c>
    </row>
    <row r="89" spans="1:15" x14ac:dyDescent="0.3">
      <c r="A89" t="s">
        <v>300</v>
      </c>
      <c r="B89" s="1">
        <v>45575</v>
      </c>
      <c r="C89" t="s">
        <v>301</v>
      </c>
      <c r="D89" t="s">
        <v>25</v>
      </c>
      <c r="E89">
        <v>1</v>
      </c>
      <c r="F89">
        <v>13345</v>
      </c>
      <c r="G89" s="9">
        <v>0.15</v>
      </c>
      <c r="H89" t="s">
        <v>50</v>
      </c>
      <c r="I89" t="s">
        <v>302</v>
      </c>
      <c r="J89" s="14" t="s">
        <v>14</v>
      </c>
      <c r="K89">
        <v>4</v>
      </c>
      <c r="L89" t="s">
        <v>33</v>
      </c>
      <c r="M89">
        <f>Table1[[#This Row],[UnitPrice]]*Table1[[#This Row],[Quantity]]</f>
        <v>13345</v>
      </c>
      <c r="N89">
        <f>Table1[[#This Row],[Total Price]]*Table1[[#This Row],[Discount]]</f>
        <v>2001.75</v>
      </c>
      <c r="O89">
        <f>Table1[[#This Row],[Total Price]]-Table1[[#This Row],[Discount Amount]]</f>
        <v>11343.25</v>
      </c>
    </row>
    <row r="90" spans="1:15" x14ac:dyDescent="0.3">
      <c r="A90" t="s">
        <v>303</v>
      </c>
      <c r="B90" s="1">
        <v>45813</v>
      </c>
      <c r="C90" t="s">
        <v>304</v>
      </c>
      <c r="D90" t="s">
        <v>58</v>
      </c>
      <c r="E90">
        <v>1</v>
      </c>
      <c r="F90">
        <v>4965</v>
      </c>
      <c r="G90" s="9">
        <v>0.41</v>
      </c>
      <c r="H90" t="s">
        <v>45</v>
      </c>
      <c r="I90" t="s">
        <v>305</v>
      </c>
      <c r="J90" s="13" t="s">
        <v>14</v>
      </c>
      <c r="K90">
        <v>7</v>
      </c>
      <c r="L90" t="s">
        <v>60</v>
      </c>
      <c r="M90">
        <f>Table1[[#This Row],[UnitPrice]]*Table1[[#This Row],[Quantity]]</f>
        <v>4965</v>
      </c>
      <c r="N90">
        <f>Table1[[#This Row],[Total Price]]*Table1[[#This Row],[Discount]]</f>
        <v>2035.6499999999999</v>
      </c>
      <c r="O90">
        <f>Table1[[#This Row],[Total Price]]-Table1[[#This Row],[Discount Amount]]</f>
        <v>2929.3500000000004</v>
      </c>
    </row>
    <row r="91" spans="1:15" x14ac:dyDescent="0.3">
      <c r="A91" t="s">
        <v>306</v>
      </c>
      <c r="B91" s="1">
        <v>45713</v>
      </c>
      <c r="C91" t="s">
        <v>307</v>
      </c>
      <c r="D91" t="s">
        <v>36</v>
      </c>
      <c r="E91">
        <v>1</v>
      </c>
      <c r="F91">
        <v>8336</v>
      </c>
      <c r="G91" s="9">
        <v>0.42</v>
      </c>
      <c r="H91" t="s">
        <v>26</v>
      </c>
      <c r="I91" t="s">
        <v>308</v>
      </c>
      <c r="J91" s="14" t="s">
        <v>73</v>
      </c>
      <c r="K91">
        <v>8</v>
      </c>
      <c r="L91" t="s">
        <v>60</v>
      </c>
      <c r="M91">
        <f>Table1[[#This Row],[UnitPrice]]*Table1[[#This Row],[Quantity]]</f>
        <v>8336</v>
      </c>
      <c r="N91">
        <f>Table1[[#This Row],[Total Price]]*Table1[[#This Row],[Discount]]</f>
        <v>3501.12</v>
      </c>
      <c r="O91">
        <f>Table1[[#This Row],[Total Price]]-Table1[[#This Row],[Discount Amount]]</f>
        <v>4834.88</v>
      </c>
    </row>
    <row r="92" spans="1:15" x14ac:dyDescent="0.3">
      <c r="A92" t="s">
        <v>309</v>
      </c>
      <c r="B92" s="1">
        <v>45187</v>
      </c>
      <c r="C92" t="s">
        <v>310</v>
      </c>
      <c r="D92" t="s">
        <v>31</v>
      </c>
      <c r="E92">
        <v>3</v>
      </c>
      <c r="F92">
        <v>36600</v>
      </c>
      <c r="G92" s="9">
        <v>0.47</v>
      </c>
      <c r="H92" t="s">
        <v>45</v>
      </c>
      <c r="I92" t="s">
        <v>311</v>
      </c>
      <c r="J92" s="13" t="s">
        <v>37</v>
      </c>
      <c r="K92">
        <v>4</v>
      </c>
      <c r="L92" t="s">
        <v>28</v>
      </c>
      <c r="M92">
        <f>Table1[[#This Row],[UnitPrice]]*Table1[[#This Row],[Quantity]]</f>
        <v>109800</v>
      </c>
      <c r="N92">
        <f>Table1[[#This Row],[Total Price]]*Table1[[#This Row],[Discount]]</f>
        <v>51606</v>
      </c>
      <c r="O92">
        <f>Table1[[#This Row],[Total Price]]-Table1[[#This Row],[Discount Amount]]</f>
        <v>58194</v>
      </c>
    </row>
    <row r="93" spans="1:15" x14ac:dyDescent="0.3">
      <c r="A93" t="s">
        <v>312</v>
      </c>
      <c r="B93" s="1">
        <v>45000</v>
      </c>
      <c r="C93" t="s">
        <v>313</v>
      </c>
      <c r="D93" t="s">
        <v>44</v>
      </c>
      <c r="E93">
        <v>1</v>
      </c>
      <c r="F93">
        <v>25952</v>
      </c>
      <c r="G93" s="9">
        <v>0.21</v>
      </c>
      <c r="H93" t="s">
        <v>50</v>
      </c>
      <c r="I93" t="s">
        <v>314</v>
      </c>
      <c r="J93" s="14" t="s">
        <v>14</v>
      </c>
      <c r="K93">
        <v>6</v>
      </c>
      <c r="L93" t="s">
        <v>22</v>
      </c>
      <c r="M93">
        <f>Table1[[#This Row],[UnitPrice]]*Table1[[#This Row],[Quantity]]</f>
        <v>25952</v>
      </c>
      <c r="N93">
        <f>Table1[[#This Row],[Total Price]]*Table1[[#This Row],[Discount]]</f>
        <v>5449.92</v>
      </c>
      <c r="O93">
        <f>Table1[[#This Row],[Total Price]]-Table1[[#This Row],[Discount Amount]]</f>
        <v>20502.080000000002</v>
      </c>
    </row>
    <row r="94" spans="1:15" x14ac:dyDescent="0.3">
      <c r="A94" t="s">
        <v>315</v>
      </c>
      <c r="B94" s="1">
        <v>45453</v>
      </c>
      <c r="C94" t="s">
        <v>316</v>
      </c>
      <c r="D94" t="s">
        <v>36</v>
      </c>
      <c r="E94">
        <v>3</v>
      </c>
      <c r="F94">
        <v>6714</v>
      </c>
      <c r="G94" s="9">
        <v>0.28000000000000003</v>
      </c>
      <c r="H94" t="s">
        <v>20</v>
      </c>
      <c r="I94" t="s">
        <v>317</v>
      </c>
      <c r="J94" s="13" t="s">
        <v>14</v>
      </c>
      <c r="K94">
        <v>7</v>
      </c>
      <c r="L94" t="s">
        <v>33</v>
      </c>
      <c r="M94">
        <f>Table1[[#This Row],[UnitPrice]]*Table1[[#This Row],[Quantity]]</f>
        <v>20142</v>
      </c>
      <c r="N94">
        <f>Table1[[#This Row],[Total Price]]*Table1[[#This Row],[Discount]]</f>
        <v>5639.76</v>
      </c>
      <c r="O94">
        <f>Table1[[#This Row],[Total Price]]-Table1[[#This Row],[Discount Amount]]</f>
        <v>14502.24</v>
      </c>
    </row>
    <row r="95" spans="1:15" x14ac:dyDescent="0.3">
      <c r="A95" t="s">
        <v>318</v>
      </c>
      <c r="B95" s="1">
        <v>44940</v>
      </c>
      <c r="C95" t="s">
        <v>319</v>
      </c>
      <c r="D95" t="s">
        <v>58</v>
      </c>
      <c r="E95">
        <v>3</v>
      </c>
      <c r="F95">
        <v>2612</v>
      </c>
      <c r="G95" s="9">
        <v>0.45</v>
      </c>
      <c r="H95" t="s">
        <v>26</v>
      </c>
      <c r="I95" t="s">
        <v>320</v>
      </c>
      <c r="J95" s="14" t="s">
        <v>14</v>
      </c>
      <c r="K95">
        <v>7</v>
      </c>
      <c r="L95" t="s">
        <v>22</v>
      </c>
      <c r="M95">
        <f>Table1[[#This Row],[UnitPrice]]*Table1[[#This Row],[Quantity]]</f>
        <v>7836</v>
      </c>
      <c r="N95">
        <f>Table1[[#This Row],[Total Price]]*Table1[[#This Row],[Discount]]</f>
        <v>3526.2000000000003</v>
      </c>
      <c r="O95">
        <f>Table1[[#This Row],[Total Price]]-Table1[[#This Row],[Discount Amount]]</f>
        <v>4309.7999999999993</v>
      </c>
    </row>
    <row r="96" spans="1:15" x14ac:dyDescent="0.3">
      <c r="A96" t="s">
        <v>321</v>
      </c>
      <c r="B96" s="1">
        <v>44968</v>
      </c>
      <c r="C96" t="s">
        <v>322</v>
      </c>
      <c r="D96" t="s">
        <v>31</v>
      </c>
      <c r="E96">
        <v>3</v>
      </c>
      <c r="F96">
        <v>32587</v>
      </c>
      <c r="G96" s="9">
        <v>0.16</v>
      </c>
      <c r="H96" t="s">
        <v>45</v>
      </c>
      <c r="I96" t="s">
        <v>323</v>
      </c>
      <c r="J96" s="13" t="s">
        <v>14</v>
      </c>
      <c r="K96">
        <v>6</v>
      </c>
      <c r="L96" t="s">
        <v>16</v>
      </c>
      <c r="M96">
        <f>Table1[[#This Row],[UnitPrice]]*Table1[[#This Row],[Quantity]]</f>
        <v>97761</v>
      </c>
      <c r="N96">
        <f>Table1[[#This Row],[Total Price]]*Table1[[#This Row],[Discount]]</f>
        <v>15641.76</v>
      </c>
      <c r="O96">
        <f>Table1[[#This Row],[Total Price]]-Table1[[#This Row],[Discount Amount]]</f>
        <v>82119.240000000005</v>
      </c>
    </row>
    <row r="97" spans="1:15" x14ac:dyDescent="0.3">
      <c r="A97" t="s">
        <v>324</v>
      </c>
      <c r="B97" s="1">
        <v>45009</v>
      </c>
      <c r="C97" t="s">
        <v>325</v>
      </c>
      <c r="D97" t="s">
        <v>36</v>
      </c>
      <c r="E97">
        <v>3</v>
      </c>
      <c r="F97">
        <v>6080</v>
      </c>
      <c r="G97" s="9">
        <v>0.4</v>
      </c>
      <c r="H97" t="s">
        <v>13</v>
      </c>
      <c r="I97" t="s">
        <v>326</v>
      </c>
      <c r="J97" s="14" t="s">
        <v>14</v>
      </c>
      <c r="K97">
        <v>7</v>
      </c>
      <c r="L97" t="s">
        <v>22</v>
      </c>
      <c r="M97">
        <f>Table1[[#This Row],[UnitPrice]]*Table1[[#This Row],[Quantity]]</f>
        <v>18240</v>
      </c>
      <c r="N97">
        <f>Table1[[#This Row],[Total Price]]*Table1[[#This Row],[Discount]]</f>
        <v>7296</v>
      </c>
      <c r="O97">
        <f>Table1[[#This Row],[Total Price]]-Table1[[#This Row],[Discount Amount]]</f>
        <v>10944</v>
      </c>
    </row>
    <row r="98" spans="1:15" x14ac:dyDescent="0.3">
      <c r="A98" t="s">
        <v>327</v>
      </c>
      <c r="B98" s="1">
        <v>45444</v>
      </c>
      <c r="C98" t="s">
        <v>328</v>
      </c>
      <c r="D98" t="s">
        <v>19</v>
      </c>
      <c r="E98">
        <v>3</v>
      </c>
      <c r="F98">
        <v>18508</v>
      </c>
      <c r="G98" s="9">
        <v>0.5</v>
      </c>
      <c r="H98" t="s">
        <v>45</v>
      </c>
      <c r="I98" t="s">
        <v>329</v>
      </c>
      <c r="J98" s="13" t="s">
        <v>37</v>
      </c>
      <c r="K98">
        <v>7</v>
      </c>
      <c r="L98" t="s">
        <v>16</v>
      </c>
      <c r="M98">
        <f>Table1[[#This Row],[UnitPrice]]*Table1[[#This Row],[Quantity]]</f>
        <v>55524</v>
      </c>
      <c r="N98">
        <f>Table1[[#This Row],[Total Price]]*Table1[[#This Row],[Discount]]</f>
        <v>27762</v>
      </c>
      <c r="O98">
        <f>Table1[[#This Row],[Total Price]]-Table1[[#This Row],[Discount Amount]]</f>
        <v>27762</v>
      </c>
    </row>
    <row r="99" spans="1:15" x14ac:dyDescent="0.3">
      <c r="A99" t="s">
        <v>330</v>
      </c>
      <c r="B99" s="1">
        <v>45678</v>
      </c>
      <c r="C99" t="s">
        <v>331</v>
      </c>
      <c r="D99" t="s">
        <v>25</v>
      </c>
      <c r="E99">
        <v>3</v>
      </c>
      <c r="F99">
        <v>13260</v>
      </c>
      <c r="G99" s="9">
        <v>0.33</v>
      </c>
      <c r="H99" t="s">
        <v>13</v>
      </c>
      <c r="I99" t="s">
        <v>332</v>
      </c>
      <c r="J99" s="14" t="s">
        <v>73</v>
      </c>
      <c r="K99">
        <v>9</v>
      </c>
      <c r="L99" t="s">
        <v>28</v>
      </c>
      <c r="M99">
        <f>Table1[[#This Row],[UnitPrice]]*Table1[[#This Row],[Quantity]]</f>
        <v>39780</v>
      </c>
      <c r="N99">
        <f>Table1[[#This Row],[Total Price]]*Table1[[#This Row],[Discount]]</f>
        <v>13127.400000000001</v>
      </c>
      <c r="O99">
        <f>Table1[[#This Row],[Total Price]]-Table1[[#This Row],[Discount Amount]]</f>
        <v>26652.6</v>
      </c>
    </row>
    <row r="100" spans="1:15" x14ac:dyDescent="0.3">
      <c r="A100" t="s">
        <v>333</v>
      </c>
      <c r="B100" s="1">
        <v>44940</v>
      </c>
      <c r="C100" t="s">
        <v>334</v>
      </c>
      <c r="D100" t="s">
        <v>36</v>
      </c>
      <c r="E100">
        <v>2</v>
      </c>
      <c r="F100">
        <v>5529</v>
      </c>
      <c r="G100" s="9">
        <v>0.49</v>
      </c>
      <c r="H100" t="s">
        <v>13</v>
      </c>
      <c r="I100" t="s">
        <v>335</v>
      </c>
      <c r="J100" s="13" t="s">
        <v>73</v>
      </c>
      <c r="K100">
        <v>3</v>
      </c>
      <c r="L100" t="s">
        <v>28</v>
      </c>
      <c r="M100">
        <f>Table1[[#This Row],[UnitPrice]]*Table1[[#This Row],[Quantity]]</f>
        <v>11058</v>
      </c>
      <c r="N100">
        <f>Table1[[#This Row],[Total Price]]*Table1[[#This Row],[Discount]]</f>
        <v>5418.42</v>
      </c>
      <c r="O100">
        <f>Table1[[#This Row],[Total Price]]-Table1[[#This Row],[Discount Amount]]</f>
        <v>5639.58</v>
      </c>
    </row>
    <row r="101" spans="1:15" x14ac:dyDescent="0.3">
      <c r="A101" t="s">
        <v>336</v>
      </c>
      <c r="B101" s="1">
        <v>45759</v>
      </c>
      <c r="C101" t="s">
        <v>337</v>
      </c>
      <c r="D101" t="s">
        <v>36</v>
      </c>
      <c r="E101">
        <v>3</v>
      </c>
      <c r="F101">
        <v>6222</v>
      </c>
      <c r="G101" s="9">
        <v>0.26</v>
      </c>
      <c r="H101" t="s">
        <v>13</v>
      </c>
      <c r="I101" t="s">
        <v>338</v>
      </c>
      <c r="J101" s="14" t="s">
        <v>14</v>
      </c>
      <c r="K101">
        <v>2</v>
      </c>
      <c r="L101" t="s">
        <v>28</v>
      </c>
      <c r="M101">
        <f>Table1[[#This Row],[UnitPrice]]*Table1[[#This Row],[Quantity]]</f>
        <v>18666</v>
      </c>
      <c r="N101">
        <f>Table1[[#This Row],[Total Price]]*Table1[[#This Row],[Discount]]</f>
        <v>4853.16</v>
      </c>
      <c r="O101">
        <f>Table1[[#This Row],[Total Price]]-Table1[[#This Row],[Discount Amount]]</f>
        <v>13812.84</v>
      </c>
    </row>
    <row r="102" spans="1:15" x14ac:dyDescent="0.3">
      <c r="A102" t="s">
        <v>339</v>
      </c>
      <c r="B102" s="1">
        <v>44974</v>
      </c>
      <c r="C102" t="s">
        <v>340</v>
      </c>
      <c r="D102" t="s">
        <v>19</v>
      </c>
      <c r="E102">
        <v>1</v>
      </c>
      <c r="F102">
        <v>26275</v>
      </c>
      <c r="G102" s="9">
        <v>0.08</v>
      </c>
      <c r="H102" t="s">
        <v>20</v>
      </c>
      <c r="I102" t="s">
        <v>341</v>
      </c>
      <c r="J102" s="13" t="s">
        <v>37</v>
      </c>
      <c r="K102">
        <v>6</v>
      </c>
      <c r="L102" t="s">
        <v>33</v>
      </c>
      <c r="M102">
        <f>Table1[[#This Row],[UnitPrice]]*Table1[[#This Row],[Quantity]]</f>
        <v>26275</v>
      </c>
      <c r="N102">
        <f>Table1[[#This Row],[Total Price]]*Table1[[#This Row],[Discount]]</f>
        <v>2102</v>
      </c>
      <c r="O102">
        <f>Table1[[#This Row],[Total Price]]-Table1[[#This Row],[Discount Amount]]</f>
        <v>24173</v>
      </c>
    </row>
    <row r="103" spans="1:15" x14ac:dyDescent="0.3">
      <c r="A103" t="s">
        <v>342</v>
      </c>
      <c r="B103" s="1">
        <v>45255</v>
      </c>
      <c r="C103" t="s">
        <v>343</v>
      </c>
      <c r="D103" t="s">
        <v>36</v>
      </c>
      <c r="E103">
        <v>1</v>
      </c>
      <c r="F103">
        <v>8619</v>
      </c>
      <c r="G103" s="9">
        <v>0.09</v>
      </c>
      <c r="H103" t="s">
        <v>50</v>
      </c>
      <c r="I103" t="s">
        <v>344</v>
      </c>
      <c r="J103" s="14" t="s">
        <v>14</v>
      </c>
      <c r="K103">
        <v>6</v>
      </c>
      <c r="L103" t="s">
        <v>60</v>
      </c>
      <c r="M103">
        <f>Table1[[#This Row],[UnitPrice]]*Table1[[#This Row],[Quantity]]</f>
        <v>8619</v>
      </c>
      <c r="N103">
        <f>Table1[[#This Row],[Total Price]]*Table1[[#This Row],[Discount]]</f>
        <v>775.70999999999992</v>
      </c>
      <c r="O103">
        <f>Table1[[#This Row],[Total Price]]-Table1[[#This Row],[Discount Amount]]</f>
        <v>7843.29</v>
      </c>
    </row>
    <row r="104" spans="1:15" x14ac:dyDescent="0.3">
      <c r="A104" t="s">
        <v>345</v>
      </c>
      <c r="B104" s="1">
        <v>44993</v>
      </c>
      <c r="C104" t="s">
        <v>346</v>
      </c>
      <c r="D104" t="s">
        <v>44</v>
      </c>
      <c r="E104">
        <v>3</v>
      </c>
      <c r="F104">
        <v>62328</v>
      </c>
      <c r="G104" s="9">
        <v>0.37</v>
      </c>
      <c r="H104" t="s">
        <v>45</v>
      </c>
      <c r="I104" t="s">
        <v>347</v>
      </c>
      <c r="J104" s="13" t="s">
        <v>73</v>
      </c>
      <c r="K104">
        <v>3</v>
      </c>
      <c r="L104" t="s">
        <v>28</v>
      </c>
      <c r="M104">
        <f>Table1[[#This Row],[UnitPrice]]*Table1[[#This Row],[Quantity]]</f>
        <v>186984</v>
      </c>
      <c r="N104">
        <f>Table1[[#This Row],[Total Price]]*Table1[[#This Row],[Discount]]</f>
        <v>69184.08</v>
      </c>
      <c r="O104">
        <f>Table1[[#This Row],[Total Price]]-Table1[[#This Row],[Discount Amount]]</f>
        <v>117799.92</v>
      </c>
    </row>
    <row r="105" spans="1:15" x14ac:dyDescent="0.3">
      <c r="A105" t="s">
        <v>348</v>
      </c>
      <c r="B105" s="1">
        <v>45682</v>
      </c>
      <c r="C105" t="s">
        <v>349</v>
      </c>
      <c r="D105" t="s">
        <v>19</v>
      </c>
      <c r="E105">
        <v>3</v>
      </c>
      <c r="F105">
        <v>22529</v>
      </c>
      <c r="G105" s="9">
        <v>0</v>
      </c>
      <c r="H105" t="s">
        <v>26</v>
      </c>
      <c r="I105" t="s">
        <v>350</v>
      </c>
      <c r="J105" s="14" t="s">
        <v>14</v>
      </c>
      <c r="K105">
        <v>9</v>
      </c>
      <c r="L105" t="s">
        <v>28</v>
      </c>
      <c r="M105">
        <f>Table1[[#This Row],[UnitPrice]]*Table1[[#This Row],[Quantity]]</f>
        <v>67587</v>
      </c>
      <c r="N105">
        <f>Table1[[#This Row],[Total Price]]*Table1[[#This Row],[Discount]]</f>
        <v>0</v>
      </c>
      <c r="O105">
        <f>Table1[[#This Row],[Total Price]]-Table1[[#This Row],[Discount Amount]]</f>
        <v>67587</v>
      </c>
    </row>
    <row r="106" spans="1:15" x14ac:dyDescent="0.3">
      <c r="A106" t="s">
        <v>351</v>
      </c>
      <c r="B106" s="1">
        <v>45503</v>
      </c>
      <c r="C106" t="s">
        <v>352</v>
      </c>
      <c r="D106" t="s">
        <v>19</v>
      </c>
      <c r="E106">
        <v>2</v>
      </c>
      <c r="F106">
        <v>29857</v>
      </c>
      <c r="G106" s="9">
        <v>0.33</v>
      </c>
      <c r="H106" t="s">
        <v>45</v>
      </c>
      <c r="I106" t="s">
        <v>353</v>
      </c>
      <c r="J106" s="13" t="s">
        <v>37</v>
      </c>
      <c r="K106">
        <v>1</v>
      </c>
      <c r="L106" t="s">
        <v>28</v>
      </c>
      <c r="M106">
        <f>Table1[[#This Row],[UnitPrice]]*Table1[[#This Row],[Quantity]]</f>
        <v>59714</v>
      </c>
      <c r="N106">
        <f>Table1[[#This Row],[Total Price]]*Table1[[#This Row],[Discount]]</f>
        <v>19705.620000000003</v>
      </c>
      <c r="O106">
        <f>Table1[[#This Row],[Total Price]]-Table1[[#This Row],[Discount Amount]]</f>
        <v>40008.379999999997</v>
      </c>
    </row>
    <row r="107" spans="1:15" x14ac:dyDescent="0.3">
      <c r="A107" t="s">
        <v>354</v>
      </c>
      <c r="B107" s="1">
        <v>45589</v>
      </c>
      <c r="C107" t="s">
        <v>355</v>
      </c>
      <c r="D107" t="s">
        <v>36</v>
      </c>
      <c r="E107">
        <v>2</v>
      </c>
      <c r="F107">
        <v>9673</v>
      </c>
      <c r="G107" s="9">
        <v>0.08</v>
      </c>
      <c r="H107" t="s">
        <v>45</v>
      </c>
      <c r="I107" t="s">
        <v>356</v>
      </c>
      <c r="J107" s="14" t="s">
        <v>73</v>
      </c>
      <c r="K107">
        <v>7</v>
      </c>
      <c r="L107" t="s">
        <v>33</v>
      </c>
      <c r="M107">
        <f>Table1[[#This Row],[UnitPrice]]*Table1[[#This Row],[Quantity]]</f>
        <v>19346</v>
      </c>
      <c r="N107">
        <f>Table1[[#This Row],[Total Price]]*Table1[[#This Row],[Discount]]</f>
        <v>1547.68</v>
      </c>
      <c r="O107">
        <f>Table1[[#This Row],[Total Price]]-Table1[[#This Row],[Discount Amount]]</f>
        <v>17798.32</v>
      </c>
    </row>
    <row r="108" spans="1:15" x14ac:dyDescent="0.3">
      <c r="A108" t="s">
        <v>357</v>
      </c>
      <c r="B108" s="1">
        <v>45177</v>
      </c>
      <c r="C108" t="s">
        <v>358</v>
      </c>
      <c r="D108" t="s">
        <v>58</v>
      </c>
      <c r="E108">
        <v>2</v>
      </c>
      <c r="F108">
        <v>3335</v>
      </c>
      <c r="G108" s="9">
        <v>0.49</v>
      </c>
      <c r="H108" t="s">
        <v>26</v>
      </c>
      <c r="I108" t="s">
        <v>359</v>
      </c>
      <c r="J108" s="13" t="s">
        <v>37</v>
      </c>
      <c r="K108">
        <v>3</v>
      </c>
      <c r="L108" t="s">
        <v>28</v>
      </c>
      <c r="M108">
        <f>Table1[[#This Row],[UnitPrice]]*Table1[[#This Row],[Quantity]]</f>
        <v>6670</v>
      </c>
      <c r="N108">
        <f>Table1[[#This Row],[Total Price]]*Table1[[#This Row],[Discount]]</f>
        <v>3268.2999999999997</v>
      </c>
      <c r="O108">
        <f>Table1[[#This Row],[Total Price]]-Table1[[#This Row],[Discount Amount]]</f>
        <v>3401.7000000000003</v>
      </c>
    </row>
    <row r="109" spans="1:15" x14ac:dyDescent="0.3">
      <c r="A109" t="s">
        <v>360</v>
      </c>
      <c r="B109" s="1">
        <v>45012</v>
      </c>
      <c r="C109" t="s">
        <v>361</v>
      </c>
      <c r="D109" t="s">
        <v>36</v>
      </c>
      <c r="E109">
        <v>1</v>
      </c>
      <c r="F109">
        <v>8437</v>
      </c>
      <c r="G109" s="9">
        <v>0.08</v>
      </c>
      <c r="H109" t="s">
        <v>45</v>
      </c>
      <c r="I109" t="s">
        <v>362</v>
      </c>
      <c r="J109" s="14" t="s">
        <v>14</v>
      </c>
      <c r="K109">
        <v>8</v>
      </c>
      <c r="L109" t="s">
        <v>16</v>
      </c>
      <c r="M109">
        <f>Table1[[#This Row],[UnitPrice]]*Table1[[#This Row],[Quantity]]</f>
        <v>8437</v>
      </c>
      <c r="N109">
        <f>Table1[[#This Row],[Total Price]]*Table1[[#This Row],[Discount]]</f>
        <v>674.96</v>
      </c>
      <c r="O109">
        <f>Table1[[#This Row],[Total Price]]-Table1[[#This Row],[Discount Amount]]</f>
        <v>7762.04</v>
      </c>
    </row>
    <row r="110" spans="1:15" x14ac:dyDescent="0.3">
      <c r="A110" t="s">
        <v>363</v>
      </c>
      <c r="B110" s="1">
        <v>45654</v>
      </c>
      <c r="C110" t="s">
        <v>364</v>
      </c>
      <c r="D110" t="s">
        <v>44</v>
      </c>
      <c r="E110">
        <v>2</v>
      </c>
      <c r="F110">
        <v>51425</v>
      </c>
      <c r="G110" s="9">
        <v>0.28000000000000003</v>
      </c>
      <c r="H110" t="s">
        <v>45</v>
      </c>
      <c r="I110" t="s">
        <v>365</v>
      </c>
      <c r="J110" s="13" t="s">
        <v>37</v>
      </c>
      <c r="K110">
        <v>9</v>
      </c>
      <c r="L110" t="s">
        <v>28</v>
      </c>
      <c r="M110">
        <f>Table1[[#This Row],[UnitPrice]]*Table1[[#This Row],[Quantity]]</f>
        <v>102850</v>
      </c>
      <c r="N110">
        <f>Table1[[#This Row],[Total Price]]*Table1[[#This Row],[Discount]]</f>
        <v>28798.000000000004</v>
      </c>
      <c r="O110">
        <f>Table1[[#This Row],[Total Price]]-Table1[[#This Row],[Discount Amount]]</f>
        <v>74052</v>
      </c>
    </row>
    <row r="111" spans="1:15" x14ac:dyDescent="0.3">
      <c r="A111" t="s">
        <v>366</v>
      </c>
      <c r="B111" s="1">
        <v>45186</v>
      </c>
      <c r="C111" t="s">
        <v>367</v>
      </c>
      <c r="D111" t="s">
        <v>58</v>
      </c>
      <c r="E111">
        <v>2</v>
      </c>
      <c r="F111">
        <v>1151</v>
      </c>
      <c r="G111" s="9">
        <v>0.33</v>
      </c>
      <c r="H111" t="s">
        <v>45</v>
      </c>
      <c r="I111" t="s">
        <v>368</v>
      </c>
      <c r="J111" s="14" t="s">
        <v>14</v>
      </c>
      <c r="K111">
        <v>3</v>
      </c>
      <c r="L111" t="s">
        <v>22</v>
      </c>
      <c r="M111">
        <f>Table1[[#This Row],[UnitPrice]]*Table1[[#This Row],[Quantity]]</f>
        <v>2302</v>
      </c>
      <c r="N111">
        <f>Table1[[#This Row],[Total Price]]*Table1[[#This Row],[Discount]]</f>
        <v>759.66000000000008</v>
      </c>
      <c r="O111">
        <f>Table1[[#This Row],[Total Price]]-Table1[[#This Row],[Discount Amount]]</f>
        <v>1542.34</v>
      </c>
    </row>
    <row r="112" spans="1:15" x14ac:dyDescent="0.3">
      <c r="A112" t="s">
        <v>369</v>
      </c>
      <c r="B112" s="1">
        <v>45403</v>
      </c>
      <c r="C112" t="s">
        <v>370</v>
      </c>
      <c r="D112" t="s">
        <v>25</v>
      </c>
      <c r="E112">
        <v>2</v>
      </c>
      <c r="F112">
        <v>4710</v>
      </c>
      <c r="G112" s="9">
        <v>0.41</v>
      </c>
      <c r="H112" t="s">
        <v>45</v>
      </c>
      <c r="I112" t="s">
        <v>371</v>
      </c>
      <c r="J112" s="13" t="s">
        <v>73</v>
      </c>
      <c r="K112">
        <v>5</v>
      </c>
      <c r="L112" t="s">
        <v>16</v>
      </c>
      <c r="M112">
        <f>Table1[[#This Row],[UnitPrice]]*Table1[[#This Row],[Quantity]]</f>
        <v>9420</v>
      </c>
      <c r="N112">
        <f>Table1[[#This Row],[Total Price]]*Table1[[#This Row],[Discount]]</f>
        <v>3862.2</v>
      </c>
      <c r="O112">
        <f>Table1[[#This Row],[Total Price]]-Table1[[#This Row],[Discount Amount]]</f>
        <v>5557.8</v>
      </c>
    </row>
    <row r="113" spans="1:15" x14ac:dyDescent="0.3">
      <c r="A113" t="s">
        <v>372</v>
      </c>
      <c r="B113" s="1">
        <v>45784</v>
      </c>
      <c r="C113" t="s">
        <v>373</v>
      </c>
      <c r="D113" t="s">
        <v>58</v>
      </c>
      <c r="E113">
        <v>2</v>
      </c>
      <c r="F113">
        <v>3682</v>
      </c>
      <c r="G113" s="9">
        <v>0.23</v>
      </c>
      <c r="H113" t="s">
        <v>20</v>
      </c>
      <c r="I113" t="s">
        <v>374</v>
      </c>
      <c r="J113" s="14" t="s">
        <v>14</v>
      </c>
      <c r="K113">
        <v>7</v>
      </c>
      <c r="L113" t="s">
        <v>60</v>
      </c>
      <c r="M113">
        <f>Table1[[#This Row],[UnitPrice]]*Table1[[#This Row],[Quantity]]</f>
        <v>7364</v>
      </c>
      <c r="N113">
        <f>Table1[[#This Row],[Total Price]]*Table1[[#This Row],[Discount]]</f>
        <v>1693.72</v>
      </c>
      <c r="O113">
        <f>Table1[[#This Row],[Total Price]]-Table1[[#This Row],[Discount Amount]]</f>
        <v>5670.28</v>
      </c>
    </row>
    <row r="114" spans="1:15" x14ac:dyDescent="0.3">
      <c r="A114" t="s">
        <v>375</v>
      </c>
      <c r="B114" s="1">
        <v>44927</v>
      </c>
      <c r="C114" t="s">
        <v>376</v>
      </c>
      <c r="D114" t="s">
        <v>12</v>
      </c>
      <c r="E114">
        <v>2</v>
      </c>
      <c r="F114">
        <v>7153</v>
      </c>
      <c r="G114" s="9">
        <v>0.47</v>
      </c>
      <c r="H114" t="s">
        <v>20</v>
      </c>
      <c r="I114" t="s">
        <v>377</v>
      </c>
      <c r="J114" s="13" t="s">
        <v>37</v>
      </c>
      <c r="K114">
        <v>2</v>
      </c>
      <c r="L114" t="s">
        <v>22</v>
      </c>
      <c r="M114">
        <f>Table1[[#This Row],[UnitPrice]]*Table1[[#This Row],[Quantity]]</f>
        <v>14306</v>
      </c>
      <c r="N114">
        <f>Table1[[#This Row],[Total Price]]*Table1[[#This Row],[Discount]]</f>
        <v>6723.82</v>
      </c>
      <c r="O114">
        <f>Table1[[#This Row],[Total Price]]-Table1[[#This Row],[Discount Amount]]</f>
        <v>7582.18</v>
      </c>
    </row>
    <row r="115" spans="1:15" x14ac:dyDescent="0.3">
      <c r="A115" t="s">
        <v>378</v>
      </c>
      <c r="B115" s="1">
        <v>45308</v>
      </c>
      <c r="C115" t="s">
        <v>379</v>
      </c>
      <c r="D115" t="s">
        <v>44</v>
      </c>
      <c r="E115">
        <v>2</v>
      </c>
      <c r="F115">
        <v>67016</v>
      </c>
      <c r="G115" s="9">
        <v>0.24</v>
      </c>
      <c r="H115" t="s">
        <v>50</v>
      </c>
      <c r="I115" t="s">
        <v>380</v>
      </c>
      <c r="J115" s="14" t="s">
        <v>14</v>
      </c>
      <c r="K115">
        <v>9</v>
      </c>
      <c r="L115" t="s">
        <v>16</v>
      </c>
      <c r="M115">
        <f>Table1[[#This Row],[UnitPrice]]*Table1[[#This Row],[Quantity]]</f>
        <v>134032</v>
      </c>
      <c r="N115">
        <f>Table1[[#This Row],[Total Price]]*Table1[[#This Row],[Discount]]</f>
        <v>32167.68</v>
      </c>
      <c r="O115">
        <f>Table1[[#This Row],[Total Price]]-Table1[[#This Row],[Discount Amount]]</f>
        <v>101864.32000000001</v>
      </c>
    </row>
    <row r="116" spans="1:15" x14ac:dyDescent="0.3">
      <c r="A116" t="s">
        <v>381</v>
      </c>
      <c r="B116" s="1">
        <v>45684</v>
      </c>
      <c r="C116" t="s">
        <v>382</v>
      </c>
      <c r="D116" t="s">
        <v>12</v>
      </c>
      <c r="E116">
        <v>2</v>
      </c>
      <c r="F116">
        <v>9631</v>
      </c>
      <c r="G116" s="9">
        <v>0.13</v>
      </c>
      <c r="H116" t="s">
        <v>20</v>
      </c>
      <c r="I116" t="s">
        <v>383</v>
      </c>
      <c r="J116" s="13" t="s">
        <v>73</v>
      </c>
      <c r="K116">
        <v>8</v>
      </c>
      <c r="L116" t="s">
        <v>60</v>
      </c>
      <c r="M116">
        <f>Table1[[#This Row],[UnitPrice]]*Table1[[#This Row],[Quantity]]</f>
        <v>19262</v>
      </c>
      <c r="N116">
        <f>Table1[[#This Row],[Total Price]]*Table1[[#This Row],[Discount]]</f>
        <v>2504.06</v>
      </c>
      <c r="O116">
        <f>Table1[[#This Row],[Total Price]]-Table1[[#This Row],[Discount Amount]]</f>
        <v>16757.939999999999</v>
      </c>
    </row>
    <row r="117" spans="1:15" x14ac:dyDescent="0.3">
      <c r="A117" t="s">
        <v>384</v>
      </c>
      <c r="B117" s="1">
        <v>45257</v>
      </c>
      <c r="C117" t="s">
        <v>385</v>
      </c>
      <c r="D117" t="s">
        <v>19</v>
      </c>
      <c r="E117">
        <v>2</v>
      </c>
      <c r="F117">
        <v>30224</v>
      </c>
      <c r="G117" s="9">
        <v>0.3</v>
      </c>
      <c r="H117" t="s">
        <v>20</v>
      </c>
      <c r="I117" t="s">
        <v>386</v>
      </c>
      <c r="J117" s="14" t="s">
        <v>14</v>
      </c>
      <c r="K117">
        <v>9</v>
      </c>
      <c r="L117" t="s">
        <v>33</v>
      </c>
      <c r="M117">
        <f>Table1[[#This Row],[UnitPrice]]*Table1[[#This Row],[Quantity]]</f>
        <v>60448</v>
      </c>
      <c r="N117">
        <f>Table1[[#This Row],[Total Price]]*Table1[[#This Row],[Discount]]</f>
        <v>18134.399999999998</v>
      </c>
      <c r="O117">
        <f>Table1[[#This Row],[Total Price]]-Table1[[#This Row],[Discount Amount]]</f>
        <v>42313.600000000006</v>
      </c>
    </row>
    <row r="118" spans="1:15" x14ac:dyDescent="0.3">
      <c r="A118" t="s">
        <v>387</v>
      </c>
      <c r="B118" s="1">
        <v>45004</v>
      </c>
      <c r="C118" t="s">
        <v>388</v>
      </c>
      <c r="D118" t="s">
        <v>36</v>
      </c>
      <c r="E118">
        <v>3</v>
      </c>
      <c r="F118">
        <v>6835</v>
      </c>
      <c r="G118" s="9">
        <v>0.33</v>
      </c>
      <c r="H118" t="s">
        <v>26</v>
      </c>
      <c r="I118" t="s">
        <v>389</v>
      </c>
      <c r="J118" s="13" t="s">
        <v>73</v>
      </c>
      <c r="K118">
        <v>6</v>
      </c>
      <c r="L118" t="s">
        <v>33</v>
      </c>
      <c r="M118">
        <f>Table1[[#This Row],[UnitPrice]]*Table1[[#This Row],[Quantity]]</f>
        <v>20505</v>
      </c>
      <c r="N118">
        <f>Table1[[#This Row],[Total Price]]*Table1[[#This Row],[Discount]]</f>
        <v>6766.6500000000005</v>
      </c>
      <c r="O118">
        <f>Table1[[#This Row],[Total Price]]-Table1[[#This Row],[Discount Amount]]</f>
        <v>13738.349999999999</v>
      </c>
    </row>
    <row r="119" spans="1:15" x14ac:dyDescent="0.3">
      <c r="A119" t="s">
        <v>390</v>
      </c>
      <c r="B119" s="1">
        <v>44993</v>
      </c>
      <c r="C119" t="s">
        <v>391</v>
      </c>
      <c r="D119" t="s">
        <v>25</v>
      </c>
      <c r="E119">
        <v>1</v>
      </c>
      <c r="F119">
        <v>8952</v>
      </c>
      <c r="G119" s="9">
        <v>0.25</v>
      </c>
      <c r="H119" t="s">
        <v>45</v>
      </c>
      <c r="I119" t="s">
        <v>392</v>
      </c>
      <c r="J119" s="14" t="s">
        <v>73</v>
      </c>
      <c r="K119">
        <v>5</v>
      </c>
      <c r="L119" t="s">
        <v>22</v>
      </c>
      <c r="M119">
        <f>Table1[[#This Row],[UnitPrice]]*Table1[[#This Row],[Quantity]]</f>
        <v>8952</v>
      </c>
      <c r="N119">
        <f>Table1[[#This Row],[Total Price]]*Table1[[#This Row],[Discount]]</f>
        <v>2238</v>
      </c>
      <c r="O119">
        <f>Table1[[#This Row],[Total Price]]-Table1[[#This Row],[Discount Amount]]</f>
        <v>6714</v>
      </c>
    </row>
    <row r="120" spans="1:15" x14ac:dyDescent="0.3">
      <c r="A120" t="s">
        <v>393</v>
      </c>
      <c r="B120" s="1">
        <v>45208</v>
      </c>
      <c r="C120" t="s">
        <v>394</v>
      </c>
      <c r="D120" t="s">
        <v>36</v>
      </c>
      <c r="E120">
        <v>2</v>
      </c>
      <c r="F120">
        <v>6070</v>
      </c>
      <c r="G120" s="9">
        <v>0.37</v>
      </c>
      <c r="H120" t="s">
        <v>45</v>
      </c>
      <c r="I120" t="s">
        <v>395</v>
      </c>
      <c r="J120" s="13" t="s">
        <v>14</v>
      </c>
      <c r="K120">
        <v>7</v>
      </c>
      <c r="L120" t="s">
        <v>60</v>
      </c>
      <c r="M120">
        <f>Table1[[#This Row],[UnitPrice]]*Table1[[#This Row],[Quantity]]</f>
        <v>12140</v>
      </c>
      <c r="N120">
        <f>Table1[[#This Row],[Total Price]]*Table1[[#This Row],[Discount]]</f>
        <v>4491.8</v>
      </c>
      <c r="O120">
        <f>Table1[[#This Row],[Total Price]]-Table1[[#This Row],[Discount Amount]]</f>
        <v>7648.2</v>
      </c>
    </row>
    <row r="121" spans="1:15" x14ac:dyDescent="0.3">
      <c r="A121" t="s">
        <v>396</v>
      </c>
      <c r="B121" s="1">
        <v>45819</v>
      </c>
      <c r="C121" t="s">
        <v>397</v>
      </c>
      <c r="D121" t="s">
        <v>58</v>
      </c>
      <c r="E121">
        <v>1</v>
      </c>
      <c r="F121">
        <v>4048</v>
      </c>
      <c r="G121" s="9">
        <v>0.21</v>
      </c>
      <c r="H121" t="s">
        <v>13</v>
      </c>
      <c r="I121" t="s">
        <v>398</v>
      </c>
      <c r="J121" s="14" t="s">
        <v>14</v>
      </c>
      <c r="K121">
        <v>7</v>
      </c>
      <c r="L121" t="s">
        <v>22</v>
      </c>
      <c r="M121">
        <f>Table1[[#This Row],[UnitPrice]]*Table1[[#This Row],[Quantity]]</f>
        <v>4048</v>
      </c>
      <c r="N121">
        <f>Table1[[#This Row],[Total Price]]*Table1[[#This Row],[Discount]]</f>
        <v>850.07999999999993</v>
      </c>
      <c r="O121">
        <f>Table1[[#This Row],[Total Price]]-Table1[[#This Row],[Discount Amount]]</f>
        <v>3197.92</v>
      </c>
    </row>
    <row r="122" spans="1:15" x14ac:dyDescent="0.3">
      <c r="A122" t="s">
        <v>399</v>
      </c>
      <c r="B122" s="1">
        <v>45027</v>
      </c>
      <c r="C122" t="s">
        <v>400</v>
      </c>
      <c r="D122" t="s">
        <v>25</v>
      </c>
      <c r="E122">
        <v>3</v>
      </c>
      <c r="F122">
        <v>1080</v>
      </c>
      <c r="G122" s="9">
        <v>0</v>
      </c>
      <c r="H122" t="s">
        <v>50</v>
      </c>
      <c r="I122" t="s">
        <v>401</v>
      </c>
      <c r="J122" s="13" t="s">
        <v>14</v>
      </c>
      <c r="K122">
        <v>4</v>
      </c>
      <c r="L122" t="s">
        <v>16</v>
      </c>
      <c r="M122">
        <f>Table1[[#This Row],[UnitPrice]]*Table1[[#This Row],[Quantity]]</f>
        <v>3240</v>
      </c>
      <c r="N122">
        <f>Table1[[#This Row],[Total Price]]*Table1[[#This Row],[Discount]]</f>
        <v>0</v>
      </c>
      <c r="O122">
        <f>Table1[[#This Row],[Total Price]]-Table1[[#This Row],[Discount Amount]]</f>
        <v>3240</v>
      </c>
    </row>
    <row r="123" spans="1:15" x14ac:dyDescent="0.3">
      <c r="A123" t="s">
        <v>402</v>
      </c>
      <c r="B123" s="1">
        <v>45260</v>
      </c>
      <c r="C123" t="s">
        <v>403</v>
      </c>
      <c r="D123" t="s">
        <v>58</v>
      </c>
      <c r="E123">
        <v>1</v>
      </c>
      <c r="F123">
        <v>9312</v>
      </c>
      <c r="G123" s="9">
        <v>0.13</v>
      </c>
      <c r="H123" t="s">
        <v>50</v>
      </c>
      <c r="I123" t="s">
        <v>404</v>
      </c>
      <c r="J123" s="14" t="s">
        <v>14</v>
      </c>
      <c r="K123">
        <v>1</v>
      </c>
      <c r="L123" t="s">
        <v>16</v>
      </c>
      <c r="M123">
        <f>Table1[[#This Row],[UnitPrice]]*Table1[[#This Row],[Quantity]]</f>
        <v>9312</v>
      </c>
      <c r="N123">
        <f>Table1[[#This Row],[Total Price]]*Table1[[#This Row],[Discount]]</f>
        <v>1210.56</v>
      </c>
      <c r="O123">
        <f>Table1[[#This Row],[Total Price]]-Table1[[#This Row],[Discount Amount]]</f>
        <v>8101.4400000000005</v>
      </c>
    </row>
    <row r="124" spans="1:15" x14ac:dyDescent="0.3">
      <c r="A124" t="s">
        <v>405</v>
      </c>
      <c r="B124" s="1">
        <v>45397</v>
      </c>
      <c r="C124" t="s">
        <v>406</v>
      </c>
      <c r="D124" t="s">
        <v>44</v>
      </c>
      <c r="E124">
        <v>1</v>
      </c>
      <c r="F124">
        <v>63556</v>
      </c>
      <c r="G124" s="9">
        <v>0.47</v>
      </c>
      <c r="H124" t="s">
        <v>45</v>
      </c>
      <c r="I124" t="s">
        <v>407</v>
      </c>
      <c r="J124" s="13" t="s">
        <v>14</v>
      </c>
      <c r="K124">
        <v>2</v>
      </c>
      <c r="L124" t="s">
        <v>33</v>
      </c>
      <c r="M124">
        <f>Table1[[#This Row],[UnitPrice]]*Table1[[#This Row],[Quantity]]</f>
        <v>63556</v>
      </c>
      <c r="N124">
        <f>Table1[[#This Row],[Total Price]]*Table1[[#This Row],[Discount]]</f>
        <v>29871.32</v>
      </c>
      <c r="O124">
        <f>Table1[[#This Row],[Total Price]]-Table1[[#This Row],[Discount Amount]]</f>
        <v>33684.68</v>
      </c>
    </row>
    <row r="125" spans="1:15" x14ac:dyDescent="0.3">
      <c r="A125" t="s">
        <v>408</v>
      </c>
      <c r="B125" s="1">
        <v>45113</v>
      </c>
      <c r="C125" t="s">
        <v>409</v>
      </c>
      <c r="D125" t="s">
        <v>58</v>
      </c>
      <c r="E125">
        <v>1</v>
      </c>
      <c r="F125">
        <v>9368</v>
      </c>
      <c r="G125" s="9">
        <v>0.38</v>
      </c>
      <c r="H125" t="s">
        <v>20</v>
      </c>
      <c r="I125" t="s">
        <v>410</v>
      </c>
      <c r="J125" s="14" t="s">
        <v>37</v>
      </c>
      <c r="K125">
        <v>5</v>
      </c>
      <c r="L125" t="s">
        <v>16</v>
      </c>
      <c r="M125">
        <f>Table1[[#This Row],[UnitPrice]]*Table1[[#This Row],[Quantity]]</f>
        <v>9368</v>
      </c>
      <c r="N125">
        <f>Table1[[#This Row],[Total Price]]*Table1[[#This Row],[Discount]]</f>
        <v>3559.84</v>
      </c>
      <c r="O125">
        <f>Table1[[#This Row],[Total Price]]-Table1[[#This Row],[Discount Amount]]</f>
        <v>5808.16</v>
      </c>
    </row>
    <row r="126" spans="1:15" x14ac:dyDescent="0.3">
      <c r="A126" t="s">
        <v>411</v>
      </c>
      <c r="B126" s="1">
        <v>45501</v>
      </c>
      <c r="C126" t="s">
        <v>412</v>
      </c>
      <c r="D126" t="s">
        <v>36</v>
      </c>
      <c r="E126">
        <v>1</v>
      </c>
      <c r="F126">
        <v>6666</v>
      </c>
      <c r="G126" s="9">
        <v>0.09</v>
      </c>
      <c r="H126" t="s">
        <v>20</v>
      </c>
      <c r="I126" t="s">
        <v>413</v>
      </c>
      <c r="J126" s="13" t="s">
        <v>73</v>
      </c>
      <c r="K126">
        <v>8</v>
      </c>
      <c r="L126" t="s">
        <v>60</v>
      </c>
      <c r="M126">
        <f>Table1[[#This Row],[UnitPrice]]*Table1[[#This Row],[Quantity]]</f>
        <v>6666</v>
      </c>
      <c r="N126">
        <f>Table1[[#This Row],[Total Price]]*Table1[[#This Row],[Discount]]</f>
        <v>599.93999999999994</v>
      </c>
      <c r="O126">
        <f>Table1[[#This Row],[Total Price]]-Table1[[#This Row],[Discount Amount]]</f>
        <v>6066.06</v>
      </c>
    </row>
    <row r="127" spans="1:15" x14ac:dyDescent="0.3">
      <c r="A127" t="s">
        <v>414</v>
      </c>
      <c r="B127" s="1">
        <v>45602</v>
      </c>
      <c r="C127" t="s">
        <v>415</v>
      </c>
      <c r="D127" t="s">
        <v>19</v>
      </c>
      <c r="E127">
        <v>3</v>
      </c>
      <c r="F127">
        <v>25735</v>
      </c>
      <c r="G127" s="9">
        <v>0.03</v>
      </c>
      <c r="H127" t="s">
        <v>26</v>
      </c>
      <c r="I127" t="s">
        <v>416</v>
      </c>
      <c r="J127" s="14" t="s">
        <v>14</v>
      </c>
      <c r="K127">
        <v>5</v>
      </c>
      <c r="L127" t="s">
        <v>28</v>
      </c>
      <c r="M127">
        <f>Table1[[#This Row],[UnitPrice]]*Table1[[#This Row],[Quantity]]</f>
        <v>77205</v>
      </c>
      <c r="N127">
        <f>Table1[[#This Row],[Total Price]]*Table1[[#This Row],[Discount]]</f>
        <v>2316.15</v>
      </c>
      <c r="O127">
        <f>Table1[[#This Row],[Total Price]]-Table1[[#This Row],[Discount Amount]]</f>
        <v>74888.850000000006</v>
      </c>
    </row>
    <row r="128" spans="1:15" x14ac:dyDescent="0.3">
      <c r="A128" t="s">
        <v>417</v>
      </c>
      <c r="B128" s="1">
        <v>45780</v>
      </c>
      <c r="C128" t="s">
        <v>418</v>
      </c>
      <c r="D128" t="s">
        <v>58</v>
      </c>
      <c r="E128">
        <v>3</v>
      </c>
      <c r="F128">
        <v>4668</v>
      </c>
      <c r="G128" s="9">
        <v>0.18</v>
      </c>
      <c r="H128" t="s">
        <v>45</v>
      </c>
      <c r="I128" t="s">
        <v>419</v>
      </c>
      <c r="J128" s="13" t="s">
        <v>14</v>
      </c>
      <c r="K128">
        <v>8</v>
      </c>
      <c r="L128" t="s">
        <v>60</v>
      </c>
      <c r="M128">
        <f>Table1[[#This Row],[UnitPrice]]*Table1[[#This Row],[Quantity]]</f>
        <v>14004</v>
      </c>
      <c r="N128">
        <f>Table1[[#This Row],[Total Price]]*Table1[[#This Row],[Discount]]</f>
        <v>2520.7199999999998</v>
      </c>
      <c r="O128">
        <f>Table1[[#This Row],[Total Price]]-Table1[[#This Row],[Discount Amount]]</f>
        <v>11483.28</v>
      </c>
    </row>
    <row r="129" spans="1:15" x14ac:dyDescent="0.3">
      <c r="A129" t="s">
        <v>420</v>
      </c>
      <c r="B129" s="1">
        <v>45148</v>
      </c>
      <c r="C129" t="s">
        <v>421</v>
      </c>
      <c r="D129" t="s">
        <v>58</v>
      </c>
      <c r="E129">
        <v>3</v>
      </c>
      <c r="F129">
        <v>4825</v>
      </c>
      <c r="G129" s="9">
        <v>0.42</v>
      </c>
      <c r="H129" t="s">
        <v>13</v>
      </c>
      <c r="I129" t="s">
        <v>422</v>
      </c>
      <c r="J129" s="14" t="s">
        <v>14</v>
      </c>
      <c r="K129">
        <v>3</v>
      </c>
      <c r="L129" t="s">
        <v>60</v>
      </c>
      <c r="M129">
        <f>Table1[[#This Row],[UnitPrice]]*Table1[[#This Row],[Quantity]]</f>
        <v>14475</v>
      </c>
      <c r="N129">
        <f>Table1[[#This Row],[Total Price]]*Table1[[#This Row],[Discount]]</f>
        <v>6079.5</v>
      </c>
      <c r="O129">
        <f>Table1[[#This Row],[Total Price]]-Table1[[#This Row],[Discount Amount]]</f>
        <v>8395.5</v>
      </c>
    </row>
    <row r="130" spans="1:15" x14ac:dyDescent="0.3">
      <c r="A130" t="s">
        <v>423</v>
      </c>
      <c r="B130" s="1">
        <v>44974</v>
      </c>
      <c r="C130" t="s">
        <v>424</v>
      </c>
      <c r="D130" t="s">
        <v>25</v>
      </c>
      <c r="E130">
        <v>2</v>
      </c>
      <c r="F130">
        <v>7044</v>
      </c>
      <c r="G130" s="9">
        <v>0.05</v>
      </c>
      <c r="H130" t="s">
        <v>45</v>
      </c>
      <c r="I130" t="s">
        <v>425</v>
      </c>
      <c r="J130" s="13" t="s">
        <v>37</v>
      </c>
      <c r="K130">
        <v>4</v>
      </c>
      <c r="L130" t="s">
        <v>60</v>
      </c>
      <c r="M130">
        <f>Table1[[#This Row],[UnitPrice]]*Table1[[#This Row],[Quantity]]</f>
        <v>14088</v>
      </c>
      <c r="N130">
        <f>Table1[[#This Row],[Total Price]]*Table1[[#This Row],[Discount]]</f>
        <v>704.40000000000009</v>
      </c>
      <c r="O130">
        <f>Table1[[#This Row],[Total Price]]-Table1[[#This Row],[Discount Amount]]</f>
        <v>13383.6</v>
      </c>
    </row>
    <row r="131" spans="1:15" x14ac:dyDescent="0.3">
      <c r="A131" t="s">
        <v>426</v>
      </c>
      <c r="B131" s="1">
        <v>45226</v>
      </c>
      <c r="C131" t="s">
        <v>427</v>
      </c>
      <c r="D131" t="s">
        <v>44</v>
      </c>
      <c r="E131">
        <v>2</v>
      </c>
      <c r="F131">
        <v>46957</v>
      </c>
      <c r="G131" s="9">
        <v>0.27</v>
      </c>
      <c r="H131" t="s">
        <v>13</v>
      </c>
      <c r="I131" t="s">
        <v>428</v>
      </c>
      <c r="J131" s="14" t="s">
        <v>14</v>
      </c>
      <c r="K131">
        <v>4</v>
      </c>
      <c r="L131" t="s">
        <v>33</v>
      </c>
      <c r="M131">
        <f>Table1[[#This Row],[UnitPrice]]*Table1[[#This Row],[Quantity]]</f>
        <v>93914</v>
      </c>
      <c r="N131">
        <f>Table1[[#This Row],[Total Price]]*Table1[[#This Row],[Discount]]</f>
        <v>25356.780000000002</v>
      </c>
      <c r="O131">
        <f>Table1[[#This Row],[Total Price]]-Table1[[#This Row],[Discount Amount]]</f>
        <v>68557.22</v>
      </c>
    </row>
    <row r="132" spans="1:15" x14ac:dyDescent="0.3">
      <c r="A132" t="s">
        <v>429</v>
      </c>
      <c r="B132" s="1">
        <v>45679</v>
      </c>
      <c r="C132" t="s">
        <v>430</v>
      </c>
      <c r="D132" t="s">
        <v>58</v>
      </c>
      <c r="E132">
        <v>1</v>
      </c>
      <c r="F132">
        <v>4516</v>
      </c>
      <c r="G132" s="9">
        <v>0.14000000000000001</v>
      </c>
      <c r="H132" t="s">
        <v>20</v>
      </c>
      <c r="I132" t="s">
        <v>431</v>
      </c>
      <c r="J132" s="13" t="s">
        <v>14</v>
      </c>
      <c r="K132">
        <v>3</v>
      </c>
      <c r="L132" t="s">
        <v>33</v>
      </c>
      <c r="M132">
        <f>Table1[[#This Row],[UnitPrice]]*Table1[[#This Row],[Quantity]]</f>
        <v>4516</v>
      </c>
      <c r="N132">
        <f>Table1[[#This Row],[Total Price]]*Table1[[#This Row],[Discount]]</f>
        <v>632.24</v>
      </c>
      <c r="O132">
        <f>Table1[[#This Row],[Total Price]]-Table1[[#This Row],[Discount Amount]]</f>
        <v>3883.76</v>
      </c>
    </row>
    <row r="133" spans="1:15" x14ac:dyDescent="0.3">
      <c r="A133" t="s">
        <v>432</v>
      </c>
      <c r="B133" s="1">
        <v>44934</v>
      </c>
      <c r="C133" t="s">
        <v>433</v>
      </c>
      <c r="D133" t="s">
        <v>25</v>
      </c>
      <c r="E133">
        <v>3</v>
      </c>
      <c r="F133">
        <v>1592</v>
      </c>
      <c r="G133" s="9">
        <v>0.36</v>
      </c>
      <c r="H133" t="s">
        <v>45</v>
      </c>
      <c r="I133" t="s">
        <v>434</v>
      </c>
      <c r="J133" s="14" t="s">
        <v>73</v>
      </c>
      <c r="K133">
        <v>5</v>
      </c>
      <c r="L133" t="s">
        <v>16</v>
      </c>
      <c r="M133">
        <f>Table1[[#This Row],[UnitPrice]]*Table1[[#This Row],[Quantity]]</f>
        <v>4776</v>
      </c>
      <c r="N133">
        <f>Table1[[#This Row],[Total Price]]*Table1[[#This Row],[Discount]]</f>
        <v>1719.36</v>
      </c>
      <c r="O133">
        <f>Table1[[#This Row],[Total Price]]-Table1[[#This Row],[Discount Amount]]</f>
        <v>3056.6400000000003</v>
      </c>
    </row>
    <row r="134" spans="1:15" x14ac:dyDescent="0.3">
      <c r="A134" t="s">
        <v>435</v>
      </c>
      <c r="B134" s="1">
        <v>45013</v>
      </c>
      <c r="C134" t="s">
        <v>436</v>
      </c>
      <c r="D134" t="s">
        <v>25</v>
      </c>
      <c r="E134">
        <v>2</v>
      </c>
      <c r="F134">
        <v>1525</v>
      </c>
      <c r="G134" s="9">
        <v>0</v>
      </c>
      <c r="H134" t="s">
        <v>26</v>
      </c>
      <c r="I134" t="s">
        <v>437</v>
      </c>
      <c r="J134" s="13" t="s">
        <v>14</v>
      </c>
      <c r="K134">
        <v>6</v>
      </c>
      <c r="L134" t="s">
        <v>28</v>
      </c>
      <c r="M134">
        <f>Table1[[#This Row],[UnitPrice]]*Table1[[#This Row],[Quantity]]</f>
        <v>3050</v>
      </c>
      <c r="N134">
        <f>Table1[[#This Row],[Total Price]]*Table1[[#This Row],[Discount]]</f>
        <v>0</v>
      </c>
      <c r="O134">
        <f>Table1[[#This Row],[Total Price]]-Table1[[#This Row],[Discount Amount]]</f>
        <v>3050</v>
      </c>
    </row>
    <row r="135" spans="1:15" x14ac:dyDescent="0.3">
      <c r="A135" t="s">
        <v>438</v>
      </c>
      <c r="B135" s="1">
        <v>45828</v>
      </c>
      <c r="C135" t="s">
        <v>439</v>
      </c>
      <c r="D135" t="s">
        <v>31</v>
      </c>
      <c r="E135">
        <v>1</v>
      </c>
      <c r="F135">
        <v>33126</v>
      </c>
      <c r="G135" s="9">
        <v>0.14000000000000001</v>
      </c>
      <c r="H135" t="s">
        <v>13</v>
      </c>
      <c r="I135" t="s">
        <v>440</v>
      </c>
      <c r="J135" s="14" t="s">
        <v>14</v>
      </c>
      <c r="K135">
        <v>6</v>
      </c>
      <c r="L135" t="s">
        <v>60</v>
      </c>
      <c r="M135">
        <f>Table1[[#This Row],[UnitPrice]]*Table1[[#This Row],[Quantity]]</f>
        <v>33126</v>
      </c>
      <c r="N135">
        <f>Table1[[#This Row],[Total Price]]*Table1[[#This Row],[Discount]]</f>
        <v>4637.6400000000003</v>
      </c>
      <c r="O135">
        <f>Table1[[#This Row],[Total Price]]-Table1[[#This Row],[Discount Amount]]</f>
        <v>28488.36</v>
      </c>
    </row>
    <row r="136" spans="1:15" x14ac:dyDescent="0.3">
      <c r="A136" t="s">
        <v>441</v>
      </c>
      <c r="B136" s="1">
        <v>45831</v>
      </c>
      <c r="C136" t="s">
        <v>442</v>
      </c>
      <c r="D136" t="s">
        <v>44</v>
      </c>
      <c r="E136">
        <v>3</v>
      </c>
      <c r="F136">
        <v>70018</v>
      </c>
      <c r="G136" s="9">
        <v>0.34</v>
      </c>
      <c r="H136" t="s">
        <v>50</v>
      </c>
      <c r="I136" t="s">
        <v>443</v>
      </c>
      <c r="J136" s="13" t="s">
        <v>73</v>
      </c>
      <c r="K136">
        <v>4</v>
      </c>
      <c r="L136" t="s">
        <v>28</v>
      </c>
      <c r="M136">
        <f>Table1[[#This Row],[UnitPrice]]*Table1[[#This Row],[Quantity]]</f>
        <v>210054</v>
      </c>
      <c r="N136">
        <f>Table1[[#This Row],[Total Price]]*Table1[[#This Row],[Discount]]</f>
        <v>71418.36</v>
      </c>
      <c r="O136">
        <f>Table1[[#This Row],[Total Price]]-Table1[[#This Row],[Discount Amount]]</f>
        <v>138635.64000000001</v>
      </c>
    </row>
    <row r="137" spans="1:15" x14ac:dyDescent="0.3">
      <c r="A137" t="s">
        <v>444</v>
      </c>
      <c r="B137" s="1">
        <v>45142</v>
      </c>
      <c r="C137" t="s">
        <v>445</v>
      </c>
      <c r="D137" t="s">
        <v>36</v>
      </c>
      <c r="E137">
        <v>3</v>
      </c>
      <c r="F137">
        <v>8938</v>
      </c>
      <c r="G137" s="9">
        <v>0.27</v>
      </c>
      <c r="H137" t="s">
        <v>45</v>
      </c>
      <c r="I137" t="s">
        <v>446</v>
      </c>
      <c r="J137" s="14" t="s">
        <v>14</v>
      </c>
      <c r="K137">
        <v>5</v>
      </c>
      <c r="L137" t="s">
        <v>22</v>
      </c>
      <c r="M137">
        <f>Table1[[#This Row],[UnitPrice]]*Table1[[#This Row],[Quantity]]</f>
        <v>26814</v>
      </c>
      <c r="N137">
        <f>Table1[[#This Row],[Total Price]]*Table1[[#This Row],[Discount]]</f>
        <v>7239.7800000000007</v>
      </c>
      <c r="O137">
        <f>Table1[[#This Row],[Total Price]]-Table1[[#This Row],[Discount Amount]]</f>
        <v>19574.22</v>
      </c>
    </row>
    <row r="138" spans="1:15" x14ac:dyDescent="0.3">
      <c r="A138" t="s">
        <v>447</v>
      </c>
      <c r="B138" s="1">
        <v>45409</v>
      </c>
      <c r="C138" t="s">
        <v>448</v>
      </c>
      <c r="D138" t="s">
        <v>44</v>
      </c>
      <c r="E138">
        <v>3</v>
      </c>
      <c r="F138">
        <v>32081</v>
      </c>
      <c r="G138" s="9">
        <v>0.39</v>
      </c>
      <c r="H138" t="s">
        <v>45</v>
      </c>
      <c r="I138" t="s">
        <v>449</v>
      </c>
      <c r="J138" s="13" t="s">
        <v>37</v>
      </c>
      <c r="K138">
        <v>1</v>
      </c>
      <c r="L138" t="s">
        <v>16</v>
      </c>
      <c r="M138">
        <f>Table1[[#This Row],[UnitPrice]]*Table1[[#This Row],[Quantity]]</f>
        <v>96243</v>
      </c>
      <c r="N138">
        <f>Table1[[#This Row],[Total Price]]*Table1[[#This Row],[Discount]]</f>
        <v>37534.770000000004</v>
      </c>
      <c r="O138">
        <f>Table1[[#This Row],[Total Price]]-Table1[[#This Row],[Discount Amount]]</f>
        <v>58708.229999999996</v>
      </c>
    </row>
    <row r="139" spans="1:15" x14ac:dyDescent="0.3">
      <c r="A139" t="s">
        <v>450</v>
      </c>
      <c r="B139" s="1">
        <v>45622</v>
      </c>
      <c r="C139" t="s">
        <v>451</v>
      </c>
      <c r="D139" t="s">
        <v>12</v>
      </c>
      <c r="E139">
        <v>1</v>
      </c>
      <c r="F139">
        <v>5386</v>
      </c>
      <c r="G139" s="9">
        <v>0.08</v>
      </c>
      <c r="H139" t="s">
        <v>26</v>
      </c>
      <c r="I139" t="s">
        <v>452</v>
      </c>
      <c r="J139" s="14" t="s">
        <v>37</v>
      </c>
      <c r="K139">
        <v>5</v>
      </c>
      <c r="L139" t="s">
        <v>60</v>
      </c>
      <c r="M139">
        <f>Table1[[#This Row],[UnitPrice]]*Table1[[#This Row],[Quantity]]</f>
        <v>5386</v>
      </c>
      <c r="N139">
        <f>Table1[[#This Row],[Total Price]]*Table1[[#This Row],[Discount]]</f>
        <v>430.88</v>
      </c>
      <c r="O139">
        <f>Table1[[#This Row],[Total Price]]-Table1[[#This Row],[Discount Amount]]</f>
        <v>4955.12</v>
      </c>
    </row>
    <row r="140" spans="1:15" x14ac:dyDescent="0.3">
      <c r="A140" t="s">
        <v>453</v>
      </c>
      <c r="B140" s="1">
        <v>45281</v>
      </c>
      <c r="C140" t="s">
        <v>454</v>
      </c>
      <c r="D140" t="s">
        <v>25</v>
      </c>
      <c r="E140">
        <v>2</v>
      </c>
      <c r="F140">
        <v>10665</v>
      </c>
      <c r="G140" s="9">
        <v>0.27</v>
      </c>
      <c r="H140" t="s">
        <v>13</v>
      </c>
      <c r="I140" t="s">
        <v>455</v>
      </c>
      <c r="J140" s="13" t="s">
        <v>73</v>
      </c>
      <c r="K140">
        <v>3</v>
      </c>
      <c r="L140" t="s">
        <v>60</v>
      </c>
      <c r="M140">
        <f>Table1[[#This Row],[UnitPrice]]*Table1[[#This Row],[Quantity]]</f>
        <v>21330</v>
      </c>
      <c r="N140">
        <f>Table1[[#This Row],[Total Price]]*Table1[[#This Row],[Discount]]</f>
        <v>5759.1</v>
      </c>
      <c r="O140">
        <f>Table1[[#This Row],[Total Price]]-Table1[[#This Row],[Discount Amount]]</f>
        <v>15570.9</v>
      </c>
    </row>
    <row r="141" spans="1:15" x14ac:dyDescent="0.3">
      <c r="A141" t="s">
        <v>456</v>
      </c>
      <c r="B141" s="1">
        <v>45026</v>
      </c>
      <c r="C141" t="s">
        <v>457</v>
      </c>
      <c r="D141" t="s">
        <v>19</v>
      </c>
      <c r="E141">
        <v>2</v>
      </c>
      <c r="F141">
        <v>30982</v>
      </c>
      <c r="G141" s="9">
        <v>0.1</v>
      </c>
      <c r="H141" t="s">
        <v>50</v>
      </c>
      <c r="I141" t="s">
        <v>458</v>
      </c>
      <c r="J141" s="14" t="s">
        <v>37</v>
      </c>
      <c r="K141">
        <v>1</v>
      </c>
      <c r="L141" t="s">
        <v>28</v>
      </c>
      <c r="M141">
        <f>Table1[[#This Row],[UnitPrice]]*Table1[[#This Row],[Quantity]]</f>
        <v>61964</v>
      </c>
      <c r="N141">
        <f>Table1[[#This Row],[Total Price]]*Table1[[#This Row],[Discount]]</f>
        <v>6196.4000000000005</v>
      </c>
      <c r="O141">
        <f>Table1[[#This Row],[Total Price]]-Table1[[#This Row],[Discount Amount]]</f>
        <v>55767.6</v>
      </c>
    </row>
    <row r="142" spans="1:15" x14ac:dyDescent="0.3">
      <c r="A142" t="s">
        <v>459</v>
      </c>
      <c r="B142" s="1">
        <v>45808</v>
      </c>
      <c r="C142" t="s">
        <v>460</v>
      </c>
      <c r="D142" t="s">
        <v>31</v>
      </c>
      <c r="E142">
        <v>2</v>
      </c>
      <c r="F142">
        <v>24557</v>
      </c>
      <c r="G142" s="9">
        <v>0.32</v>
      </c>
      <c r="H142" t="s">
        <v>20</v>
      </c>
      <c r="I142" t="s">
        <v>461</v>
      </c>
      <c r="J142" s="13" t="s">
        <v>37</v>
      </c>
      <c r="K142">
        <v>3</v>
      </c>
      <c r="L142" t="s">
        <v>28</v>
      </c>
      <c r="M142">
        <f>Table1[[#This Row],[UnitPrice]]*Table1[[#This Row],[Quantity]]</f>
        <v>49114</v>
      </c>
      <c r="N142">
        <f>Table1[[#This Row],[Total Price]]*Table1[[#This Row],[Discount]]</f>
        <v>15716.48</v>
      </c>
      <c r="O142">
        <f>Table1[[#This Row],[Total Price]]-Table1[[#This Row],[Discount Amount]]</f>
        <v>33397.520000000004</v>
      </c>
    </row>
    <row r="143" spans="1:15" x14ac:dyDescent="0.3">
      <c r="A143" t="s">
        <v>462</v>
      </c>
      <c r="B143" s="1">
        <v>45248</v>
      </c>
      <c r="C143" t="s">
        <v>463</v>
      </c>
      <c r="D143" t="s">
        <v>36</v>
      </c>
      <c r="E143">
        <v>2</v>
      </c>
      <c r="F143">
        <v>9169</v>
      </c>
      <c r="G143" s="9">
        <v>7.0000000000000007E-2</v>
      </c>
      <c r="H143" t="s">
        <v>50</v>
      </c>
      <c r="I143" t="s">
        <v>464</v>
      </c>
      <c r="J143" s="14" t="s">
        <v>73</v>
      </c>
      <c r="K143">
        <v>3</v>
      </c>
      <c r="L143" t="s">
        <v>16</v>
      </c>
      <c r="M143">
        <f>Table1[[#This Row],[UnitPrice]]*Table1[[#This Row],[Quantity]]</f>
        <v>18338</v>
      </c>
      <c r="N143">
        <f>Table1[[#This Row],[Total Price]]*Table1[[#This Row],[Discount]]</f>
        <v>1283.6600000000001</v>
      </c>
      <c r="O143">
        <f>Table1[[#This Row],[Total Price]]-Table1[[#This Row],[Discount Amount]]</f>
        <v>17054.34</v>
      </c>
    </row>
    <row r="144" spans="1:15" x14ac:dyDescent="0.3">
      <c r="A144" t="s">
        <v>465</v>
      </c>
      <c r="B144" s="1">
        <v>45175</v>
      </c>
      <c r="C144" t="s">
        <v>466</v>
      </c>
      <c r="D144" t="s">
        <v>58</v>
      </c>
      <c r="E144">
        <v>1</v>
      </c>
      <c r="F144">
        <v>9436</v>
      </c>
      <c r="G144" s="9">
        <v>7.0000000000000007E-2</v>
      </c>
      <c r="H144" t="s">
        <v>50</v>
      </c>
      <c r="I144" t="s">
        <v>467</v>
      </c>
      <c r="J144" s="13" t="s">
        <v>73</v>
      </c>
      <c r="K144">
        <v>7</v>
      </c>
      <c r="L144" t="s">
        <v>28</v>
      </c>
      <c r="M144">
        <f>Table1[[#This Row],[UnitPrice]]*Table1[[#This Row],[Quantity]]</f>
        <v>9436</v>
      </c>
      <c r="N144">
        <f>Table1[[#This Row],[Total Price]]*Table1[[#This Row],[Discount]]</f>
        <v>660.5200000000001</v>
      </c>
      <c r="O144">
        <f>Table1[[#This Row],[Total Price]]-Table1[[#This Row],[Discount Amount]]</f>
        <v>8775.48</v>
      </c>
    </row>
    <row r="145" spans="1:15" x14ac:dyDescent="0.3">
      <c r="A145" t="s">
        <v>468</v>
      </c>
      <c r="B145" s="1">
        <v>45456</v>
      </c>
      <c r="C145" t="s">
        <v>469</v>
      </c>
      <c r="D145" t="s">
        <v>31</v>
      </c>
      <c r="E145">
        <v>1</v>
      </c>
      <c r="F145">
        <v>22438</v>
      </c>
      <c r="G145" s="9">
        <v>0.16</v>
      </c>
      <c r="H145" t="s">
        <v>20</v>
      </c>
      <c r="I145" t="s">
        <v>470</v>
      </c>
      <c r="J145" s="14" t="s">
        <v>14</v>
      </c>
      <c r="K145">
        <v>5</v>
      </c>
      <c r="L145" t="s">
        <v>22</v>
      </c>
      <c r="M145">
        <f>Table1[[#This Row],[UnitPrice]]*Table1[[#This Row],[Quantity]]</f>
        <v>22438</v>
      </c>
      <c r="N145">
        <f>Table1[[#This Row],[Total Price]]*Table1[[#This Row],[Discount]]</f>
        <v>3590.08</v>
      </c>
      <c r="O145">
        <f>Table1[[#This Row],[Total Price]]-Table1[[#This Row],[Discount Amount]]</f>
        <v>18847.919999999998</v>
      </c>
    </row>
    <row r="146" spans="1:15" x14ac:dyDescent="0.3">
      <c r="A146" t="s">
        <v>471</v>
      </c>
      <c r="B146" s="1">
        <v>45142</v>
      </c>
      <c r="C146" t="s">
        <v>472</v>
      </c>
      <c r="D146" t="s">
        <v>58</v>
      </c>
      <c r="E146">
        <v>2</v>
      </c>
      <c r="F146">
        <v>8094</v>
      </c>
      <c r="G146" s="9">
        <v>0.2</v>
      </c>
      <c r="H146" t="s">
        <v>26</v>
      </c>
      <c r="I146" t="s">
        <v>473</v>
      </c>
      <c r="J146" s="13" t="s">
        <v>73</v>
      </c>
      <c r="K146">
        <v>8</v>
      </c>
      <c r="L146" t="s">
        <v>33</v>
      </c>
      <c r="M146">
        <f>Table1[[#This Row],[UnitPrice]]*Table1[[#This Row],[Quantity]]</f>
        <v>16188</v>
      </c>
      <c r="N146">
        <f>Table1[[#This Row],[Total Price]]*Table1[[#This Row],[Discount]]</f>
        <v>3237.6000000000004</v>
      </c>
      <c r="O146">
        <f>Table1[[#This Row],[Total Price]]-Table1[[#This Row],[Discount Amount]]</f>
        <v>12950.4</v>
      </c>
    </row>
    <row r="147" spans="1:15" x14ac:dyDescent="0.3">
      <c r="A147" t="s">
        <v>474</v>
      </c>
      <c r="B147" s="1">
        <v>45353</v>
      </c>
      <c r="C147" t="s">
        <v>475</v>
      </c>
      <c r="D147" t="s">
        <v>36</v>
      </c>
      <c r="E147">
        <v>1</v>
      </c>
      <c r="F147">
        <v>5496</v>
      </c>
      <c r="G147" s="9">
        <v>0.25</v>
      </c>
      <c r="H147" t="s">
        <v>26</v>
      </c>
      <c r="I147" t="s">
        <v>476</v>
      </c>
      <c r="J147" s="14" t="s">
        <v>37</v>
      </c>
      <c r="K147">
        <v>6</v>
      </c>
      <c r="L147" t="s">
        <v>60</v>
      </c>
      <c r="M147">
        <f>Table1[[#This Row],[UnitPrice]]*Table1[[#This Row],[Quantity]]</f>
        <v>5496</v>
      </c>
      <c r="N147">
        <f>Table1[[#This Row],[Total Price]]*Table1[[#This Row],[Discount]]</f>
        <v>1374</v>
      </c>
      <c r="O147">
        <f>Table1[[#This Row],[Total Price]]-Table1[[#This Row],[Discount Amount]]</f>
        <v>4122</v>
      </c>
    </row>
    <row r="148" spans="1:15" x14ac:dyDescent="0.3">
      <c r="A148" t="s">
        <v>477</v>
      </c>
      <c r="B148" s="1">
        <v>45777</v>
      </c>
      <c r="C148" t="s">
        <v>478</v>
      </c>
      <c r="D148" t="s">
        <v>25</v>
      </c>
      <c r="E148">
        <v>3</v>
      </c>
      <c r="F148">
        <v>11860</v>
      </c>
      <c r="G148" s="9">
        <v>0.28999999999999998</v>
      </c>
      <c r="H148" t="s">
        <v>26</v>
      </c>
      <c r="I148" t="s">
        <v>479</v>
      </c>
      <c r="J148" s="13" t="s">
        <v>37</v>
      </c>
      <c r="K148">
        <v>4</v>
      </c>
      <c r="L148" t="s">
        <v>16</v>
      </c>
      <c r="M148">
        <f>Table1[[#This Row],[UnitPrice]]*Table1[[#This Row],[Quantity]]</f>
        <v>35580</v>
      </c>
      <c r="N148">
        <f>Table1[[#This Row],[Total Price]]*Table1[[#This Row],[Discount]]</f>
        <v>10318.199999999999</v>
      </c>
      <c r="O148">
        <f>Table1[[#This Row],[Total Price]]-Table1[[#This Row],[Discount Amount]]</f>
        <v>25261.800000000003</v>
      </c>
    </row>
    <row r="149" spans="1:15" x14ac:dyDescent="0.3">
      <c r="A149" t="s">
        <v>480</v>
      </c>
      <c r="B149" s="1">
        <v>45783</v>
      </c>
      <c r="C149" t="s">
        <v>481</v>
      </c>
      <c r="D149" t="s">
        <v>44</v>
      </c>
      <c r="E149">
        <v>2</v>
      </c>
      <c r="F149">
        <v>49297</v>
      </c>
      <c r="G149" s="9">
        <v>0.23</v>
      </c>
      <c r="H149" t="s">
        <v>26</v>
      </c>
      <c r="I149" t="s">
        <v>482</v>
      </c>
      <c r="J149" s="14" t="s">
        <v>14</v>
      </c>
      <c r="K149">
        <v>2</v>
      </c>
      <c r="L149" t="s">
        <v>60</v>
      </c>
      <c r="M149">
        <f>Table1[[#This Row],[UnitPrice]]*Table1[[#This Row],[Quantity]]</f>
        <v>98594</v>
      </c>
      <c r="N149">
        <f>Table1[[#This Row],[Total Price]]*Table1[[#This Row],[Discount]]</f>
        <v>22676.620000000003</v>
      </c>
      <c r="O149">
        <f>Table1[[#This Row],[Total Price]]-Table1[[#This Row],[Discount Amount]]</f>
        <v>75917.38</v>
      </c>
    </row>
    <row r="150" spans="1:15" x14ac:dyDescent="0.3">
      <c r="A150" t="s">
        <v>483</v>
      </c>
      <c r="B150" s="1">
        <v>45641</v>
      </c>
      <c r="C150" t="s">
        <v>484</v>
      </c>
      <c r="D150" t="s">
        <v>19</v>
      </c>
      <c r="E150">
        <v>1</v>
      </c>
      <c r="F150">
        <v>22633</v>
      </c>
      <c r="G150" s="9">
        <v>0.02</v>
      </c>
      <c r="H150" t="s">
        <v>26</v>
      </c>
      <c r="I150" t="s">
        <v>485</v>
      </c>
      <c r="J150" s="13" t="s">
        <v>37</v>
      </c>
      <c r="K150">
        <v>3</v>
      </c>
      <c r="L150" t="s">
        <v>60</v>
      </c>
      <c r="M150">
        <f>Table1[[#This Row],[UnitPrice]]*Table1[[#This Row],[Quantity]]</f>
        <v>22633</v>
      </c>
      <c r="N150">
        <f>Table1[[#This Row],[Total Price]]*Table1[[#This Row],[Discount]]</f>
        <v>452.66</v>
      </c>
      <c r="O150">
        <f>Table1[[#This Row],[Total Price]]-Table1[[#This Row],[Discount Amount]]</f>
        <v>22180.34</v>
      </c>
    </row>
    <row r="151" spans="1:15" x14ac:dyDescent="0.3">
      <c r="A151" t="s">
        <v>486</v>
      </c>
      <c r="B151" s="1">
        <v>45287</v>
      </c>
      <c r="C151" t="s">
        <v>487</v>
      </c>
      <c r="D151" t="s">
        <v>44</v>
      </c>
      <c r="E151">
        <v>2</v>
      </c>
      <c r="F151">
        <v>46827</v>
      </c>
      <c r="G151" s="9">
        <v>0.17</v>
      </c>
      <c r="H151" t="s">
        <v>13</v>
      </c>
      <c r="I151" t="s">
        <v>488</v>
      </c>
      <c r="J151" s="14" t="s">
        <v>37</v>
      </c>
      <c r="K151">
        <v>3</v>
      </c>
      <c r="L151" t="s">
        <v>33</v>
      </c>
      <c r="M151">
        <f>Table1[[#This Row],[UnitPrice]]*Table1[[#This Row],[Quantity]]</f>
        <v>93654</v>
      </c>
      <c r="N151">
        <f>Table1[[#This Row],[Total Price]]*Table1[[#This Row],[Discount]]</f>
        <v>15921.18</v>
      </c>
      <c r="O151">
        <f>Table1[[#This Row],[Total Price]]-Table1[[#This Row],[Discount Amount]]</f>
        <v>77732.820000000007</v>
      </c>
    </row>
    <row r="152" spans="1:15" x14ac:dyDescent="0.3">
      <c r="A152" t="s">
        <v>489</v>
      </c>
      <c r="B152" s="1">
        <v>45273</v>
      </c>
      <c r="C152" t="s">
        <v>490</v>
      </c>
      <c r="D152" t="s">
        <v>19</v>
      </c>
      <c r="E152">
        <v>2</v>
      </c>
      <c r="F152">
        <v>44968</v>
      </c>
      <c r="G152" s="9">
        <v>0.03</v>
      </c>
      <c r="H152" t="s">
        <v>13</v>
      </c>
      <c r="I152" t="s">
        <v>491</v>
      </c>
      <c r="J152" s="13" t="s">
        <v>37</v>
      </c>
      <c r="K152">
        <v>5</v>
      </c>
      <c r="L152" t="s">
        <v>60</v>
      </c>
      <c r="M152">
        <f>Table1[[#This Row],[UnitPrice]]*Table1[[#This Row],[Quantity]]</f>
        <v>89936</v>
      </c>
      <c r="N152">
        <f>Table1[[#This Row],[Total Price]]*Table1[[#This Row],[Discount]]</f>
        <v>2698.08</v>
      </c>
      <c r="O152">
        <f>Table1[[#This Row],[Total Price]]-Table1[[#This Row],[Discount Amount]]</f>
        <v>87237.92</v>
      </c>
    </row>
    <row r="153" spans="1:15" x14ac:dyDescent="0.3">
      <c r="A153" t="s">
        <v>492</v>
      </c>
      <c r="B153" s="1">
        <v>45261</v>
      </c>
      <c r="C153" t="s">
        <v>493</v>
      </c>
      <c r="D153" t="s">
        <v>36</v>
      </c>
      <c r="E153">
        <v>3</v>
      </c>
      <c r="F153">
        <v>6345</v>
      </c>
      <c r="G153" s="9">
        <v>0.06</v>
      </c>
      <c r="H153" t="s">
        <v>13</v>
      </c>
      <c r="I153" t="s">
        <v>494</v>
      </c>
      <c r="J153" s="14" t="s">
        <v>73</v>
      </c>
      <c r="K153">
        <v>7</v>
      </c>
      <c r="L153" t="s">
        <v>28</v>
      </c>
      <c r="M153">
        <f>Table1[[#This Row],[UnitPrice]]*Table1[[#This Row],[Quantity]]</f>
        <v>19035</v>
      </c>
      <c r="N153">
        <f>Table1[[#This Row],[Total Price]]*Table1[[#This Row],[Discount]]</f>
        <v>1142.0999999999999</v>
      </c>
      <c r="O153">
        <f>Table1[[#This Row],[Total Price]]-Table1[[#This Row],[Discount Amount]]</f>
        <v>17892.900000000001</v>
      </c>
    </row>
    <row r="154" spans="1:15" x14ac:dyDescent="0.3">
      <c r="A154" t="s">
        <v>495</v>
      </c>
      <c r="B154" s="1">
        <v>45659</v>
      </c>
      <c r="C154" t="s">
        <v>496</v>
      </c>
      <c r="D154" t="s">
        <v>31</v>
      </c>
      <c r="E154">
        <v>2</v>
      </c>
      <c r="F154">
        <v>31819</v>
      </c>
      <c r="G154" s="9">
        <v>0.05</v>
      </c>
      <c r="H154" t="s">
        <v>50</v>
      </c>
      <c r="I154" t="s">
        <v>497</v>
      </c>
      <c r="J154" s="13" t="s">
        <v>14</v>
      </c>
      <c r="K154">
        <v>3</v>
      </c>
      <c r="L154" t="s">
        <v>22</v>
      </c>
      <c r="M154">
        <f>Table1[[#This Row],[UnitPrice]]*Table1[[#This Row],[Quantity]]</f>
        <v>63638</v>
      </c>
      <c r="N154">
        <f>Table1[[#This Row],[Total Price]]*Table1[[#This Row],[Discount]]</f>
        <v>3181.9</v>
      </c>
      <c r="O154">
        <f>Table1[[#This Row],[Total Price]]-Table1[[#This Row],[Discount Amount]]</f>
        <v>60456.1</v>
      </c>
    </row>
    <row r="155" spans="1:15" x14ac:dyDescent="0.3">
      <c r="A155" t="s">
        <v>498</v>
      </c>
      <c r="B155" s="1">
        <v>45644</v>
      </c>
      <c r="C155" t="s">
        <v>499</v>
      </c>
      <c r="D155" t="s">
        <v>31</v>
      </c>
      <c r="E155">
        <v>1</v>
      </c>
      <c r="F155">
        <v>37140</v>
      </c>
      <c r="G155" s="9">
        <v>0.08</v>
      </c>
      <c r="H155" t="s">
        <v>20</v>
      </c>
      <c r="I155" t="s">
        <v>500</v>
      </c>
      <c r="J155" s="14" t="s">
        <v>73</v>
      </c>
      <c r="K155">
        <v>9</v>
      </c>
      <c r="L155" t="s">
        <v>16</v>
      </c>
      <c r="M155">
        <f>Table1[[#This Row],[UnitPrice]]*Table1[[#This Row],[Quantity]]</f>
        <v>37140</v>
      </c>
      <c r="N155">
        <f>Table1[[#This Row],[Total Price]]*Table1[[#This Row],[Discount]]</f>
        <v>2971.2000000000003</v>
      </c>
      <c r="O155">
        <f>Table1[[#This Row],[Total Price]]-Table1[[#This Row],[Discount Amount]]</f>
        <v>34168.800000000003</v>
      </c>
    </row>
    <row r="156" spans="1:15" x14ac:dyDescent="0.3">
      <c r="A156" t="s">
        <v>501</v>
      </c>
      <c r="B156" s="1">
        <v>45127</v>
      </c>
      <c r="C156" t="s">
        <v>502</v>
      </c>
      <c r="D156" t="s">
        <v>19</v>
      </c>
      <c r="E156">
        <v>2</v>
      </c>
      <c r="F156">
        <v>29941</v>
      </c>
      <c r="G156" s="9">
        <v>0.41</v>
      </c>
      <c r="H156" t="s">
        <v>26</v>
      </c>
      <c r="I156" t="s">
        <v>503</v>
      </c>
      <c r="J156" s="13" t="s">
        <v>73</v>
      </c>
      <c r="K156">
        <v>9</v>
      </c>
      <c r="L156" t="s">
        <v>16</v>
      </c>
      <c r="M156">
        <f>Table1[[#This Row],[UnitPrice]]*Table1[[#This Row],[Quantity]]</f>
        <v>59882</v>
      </c>
      <c r="N156">
        <f>Table1[[#This Row],[Total Price]]*Table1[[#This Row],[Discount]]</f>
        <v>24551.62</v>
      </c>
      <c r="O156">
        <f>Table1[[#This Row],[Total Price]]-Table1[[#This Row],[Discount Amount]]</f>
        <v>35330.380000000005</v>
      </c>
    </row>
    <row r="157" spans="1:15" x14ac:dyDescent="0.3">
      <c r="A157" t="s">
        <v>504</v>
      </c>
      <c r="B157" s="1">
        <v>44984</v>
      </c>
      <c r="C157" t="s">
        <v>505</v>
      </c>
      <c r="D157" t="s">
        <v>19</v>
      </c>
      <c r="E157">
        <v>2</v>
      </c>
      <c r="F157">
        <v>36330</v>
      </c>
      <c r="G157" s="9">
        <v>0.31</v>
      </c>
      <c r="H157" t="s">
        <v>20</v>
      </c>
      <c r="I157" t="s">
        <v>506</v>
      </c>
      <c r="J157" s="14" t="s">
        <v>14</v>
      </c>
      <c r="K157">
        <v>6</v>
      </c>
      <c r="L157" t="s">
        <v>22</v>
      </c>
      <c r="M157">
        <f>Table1[[#This Row],[UnitPrice]]*Table1[[#This Row],[Quantity]]</f>
        <v>72660</v>
      </c>
      <c r="N157">
        <f>Table1[[#This Row],[Total Price]]*Table1[[#This Row],[Discount]]</f>
        <v>22524.6</v>
      </c>
      <c r="O157">
        <f>Table1[[#This Row],[Total Price]]-Table1[[#This Row],[Discount Amount]]</f>
        <v>50135.4</v>
      </c>
    </row>
    <row r="158" spans="1:15" x14ac:dyDescent="0.3">
      <c r="A158" t="s">
        <v>507</v>
      </c>
      <c r="B158" s="1">
        <v>45604</v>
      </c>
      <c r="C158" t="s">
        <v>508</v>
      </c>
      <c r="D158" t="s">
        <v>31</v>
      </c>
      <c r="E158">
        <v>3</v>
      </c>
      <c r="F158">
        <v>40799</v>
      </c>
      <c r="G158" s="9">
        <v>0.25</v>
      </c>
      <c r="H158" t="s">
        <v>20</v>
      </c>
      <c r="I158" t="s">
        <v>509</v>
      </c>
      <c r="J158" s="13" t="s">
        <v>37</v>
      </c>
      <c r="K158">
        <v>4</v>
      </c>
      <c r="L158" t="s">
        <v>28</v>
      </c>
      <c r="M158">
        <f>Table1[[#This Row],[UnitPrice]]*Table1[[#This Row],[Quantity]]</f>
        <v>122397</v>
      </c>
      <c r="N158">
        <f>Table1[[#This Row],[Total Price]]*Table1[[#This Row],[Discount]]</f>
        <v>30599.25</v>
      </c>
      <c r="O158">
        <f>Table1[[#This Row],[Total Price]]-Table1[[#This Row],[Discount Amount]]</f>
        <v>91797.75</v>
      </c>
    </row>
    <row r="159" spans="1:15" x14ac:dyDescent="0.3">
      <c r="A159" t="s">
        <v>510</v>
      </c>
      <c r="B159" s="1">
        <v>45709</v>
      </c>
      <c r="C159" t="s">
        <v>511</v>
      </c>
      <c r="D159" t="s">
        <v>12</v>
      </c>
      <c r="E159">
        <v>3</v>
      </c>
      <c r="F159">
        <v>9862</v>
      </c>
      <c r="G159" s="9">
        <v>0.37</v>
      </c>
      <c r="H159" t="s">
        <v>20</v>
      </c>
      <c r="I159" t="s">
        <v>512</v>
      </c>
      <c r="J159" s="14" t="s">
        <v>37</v>
      </c>
      <c r="K159">
        <v>4</v>
      </c>
      <c r="L159" t="s">
        <v>33</v>
      </c>
      <c r="M159">
        <f>Table1[[#This Row],[UnitPrice]]*Table1[[#This Row],[Quantity]]</f>
        <v>29586</v>
      </c>
      <c r="N159">
        <f>Table1[[#This Row],[Total Price]]*Table1[[#This Row],[Discount]]</f>
        <v>10946.82</v>
      </c>
      <c r="O159">
        <f>Table1[[#This Row],[Total Price]]-Table1[[#This Row],[Discount Amount]]</f>
        <v>18639.18</v>
      </c>
    </row>
    <row r="160" spans="1:15" x14ac:dyDescent="0.3">
      <c r="A160" t="s">
        <v>513</v>
      </c>
      <c r="B160" s="1">
        <v>45428</v>
      </c>
      <c r="C160" t="s">
        <v>514</v>
      </c>
      <c r="D160" t="s">
        <v>25</v>
      </c>
      <c r="E160">
        <v>2</v>
      </c>
      <c r="F160">
        <v>3862</v>
      </c>
      <c r="G160" s="9">
        <v>0.48</v>
      </c>
      <c r="H160" t="s">
        <v>26</v>
      </c>
      <c r="I160" t="s">
        <v>515</v>
      </c>
      <c r="J160" s="13" t="s">
        <v>73</v>
      </c>
      <c r="K160">
        <v>5</v>
      </c>
      <c r="L160" t="s">
        <v>16</v>
      </c>
      <c r="M160">
        <f>Table1[[#This Row],[UnitPrice]]*Table1[[#This Row],[Quantity]]</f>
        <v>7724</v>
      </c>
      <c r="N160">
        <f>Table1[[#This Row],[Total Price]]*Table1[[#This Row],[Discount]]</f>
        <v>3707.52</v>
      </c>
      <c r="O160">
        <f>Table1[[#This Row],[Total Price]]-Table1[[#This Row],[Discount Amount]]</f>
        <v>4016.48</v>
      </c>
    </row>
    <row r="161" spans="1:15" x14ac:dyDescent="0.3">
      <c r="A161" t="s">
        <v>516</v>
      </c>
      <c r="B161" s="1">
        <v>45230</v>
      </c>
      <c r="C161" t="s">
        <v>517</v>
      </c>
      <c r="D161" t="s">
        <v>36</v>
      </c>
      <c r="E161">
        <v>1</v>
      </c>
      <c r="F161">
        <v>9526</v>
      </c>
      <c r="G161" s="9">
        <v>0.21</v>
      </c>
      <c r="H161" t="s">
        <v>26</v>
      </c>
      <c r="I161" t="s">
        <v>518</v>
      </c>
      <c r="J161" s="14" t="s">
        <v>37</v>
      </c>
      <c r="K161">
        <v>5</v>
      </c>
      <c r="L161" t="s">
        <v>28</v>
      </c>
      <c r="M161">
        <f>Table1[[#This Row],[UnitPrice]]*Table1[[#This Row],[Quantity]]</f>
        <v>9526</v>
      </c>
      <c r="N161">
        <f>Table1[[#This Row],[Total Price]]*Table1[[#This Row],[Discount]]</f>
        <v>2000.46</v>
      </c>
      <c r="O161">
        <f>Table1[[#This Row],[Total Price]]-Table1[[#This Row],[Discount Amount]]</f>
        <v>7525.54</v>
      </c>
    </row>
    <row r="162" spans="1:15" x14ac:dyDescent="0.3">
      <c r="A162" t="s">
        <v>519</v>
      </c>
      <c r="B162" s="1">
        <v>44974</v>
      </c>
      <c r="C162" t="s">
        <v>520</v>
      </c>
      <c r="D162" t="s">
        <v>12</v>
      </c>
      <c r="E162">
        <v>3</v>
      </c>
      <c r="F162">
        <v>5027</v>
      </c>
      <c r="G162" s="9">
        <v>0.18</v>
      </c>
      <c r="H162" t="s">
        <v>50</v>
      </c>
      <c r="I162" t="s">
        <v>521</v>
      </c>
      <c r="J162" s="13" t="s">
        <v>73</v>
      </c>
      <c r="K162">
        <v>7</v>
      </c>
      <c r="L162" t="s">
        <v>22</v>
      </c>
      <c r="M162">
        <f>Table1[[#This Row],[UnitPrice]]*Table1[[#This Row],[Quantity]]</f>
        <v>15081</v>
      </c>
      <c r="N162">
        <f>Table1[[#This Row],[Total Price]]*Table1[[#This Row],[Discount]]</f>
        <v>2714.58</v>
      </c>
      <c r="O162">
        <f>Table1[[#This Row],[Total Price]]-Table1[[#This Row],[Discount Amount]]</f>
        <v>12366.42</v>
      </c>
    </row>
    <row r="163" spans="1:15" x14ac:dyDescent="0.3">
      <c r="A163" t="s">
        <v>522</v>
      </c>
      <c r="B163" s="1">
        <v>45380</v>
      </c>
      <c r="C163" t="s">
        <v>523</v>
      </c>
      <c r="D163" t="s">
        <v>12</v>
      </c>
      <c r="E163">
        <v>3</v>
      </c>
      <c r="F163">
        <v>2984</v>
      </c>
      <c r="G163" s="9">
        <v>0.49</v>
      </c>
      <c r="H163" t="s">
        <v>26</v>
      </c>
      <c r="I163" t="s">
        <v>524</v>
      </c>
      <c r="J163" s="14" t="s">
        <v>37</v>
      </c>
      <c r="K163">
        <v>1</v>
      </c>
      <c r="L163" t="s">
        <v>33</v>
      </c>
      <c r="M163">
        <f>Table1[[#This Row],[UnitPrice]]*Table1[[#This Row],[Quantity]]</f>
        <v>8952</v>
      </c>
      <c r="N163">
        <f>Table1[[#This Row],[Total Price]]*Table1[[#This Row],[Discount]]</f>
        <v>4386.4799999999996</v>
      </c>
      <c r="O163">
        <f>Table1[[#This Row],[Total Price]]-Table1[[#This Row],[Discount Amount]]</f>
        <v>4565.5200000000004</v>
      </c>
    </row>
    <row r="164" spans="1:15" x14ac:dyDescent="0.3">
      <c r="A164" t="s">
        <v>525</v>
      </c>
      <c r="B164" s="1">
        <v>45134</v>
      </c>
      <c r="C164" t="s">
        <v>526</v>
      </c>
      <c r="D164" t="s">
        <v>31</v>
      </c>
      <c r="E164">
        <v>1</v>
      </c>
      <c r="F164">
        <v>35938</v>
      </c>
      <c r="G164" s="9">
        <v>0.39</v>
      </c>
      <c r="H164" t="s">
        <v>20</v>
      </c>
      <c r="I164" t="s">
        <v>527</v>
      </c>
      <c r="J164" s="13" t="s">
        <v>73</v>
      </c>
      <c r="K164">
        <v>8</v>
      </c>
      <c r="L164" t="s">
        <v>60</v>
      </c>
      <c r="M164">
        <f>Table1[[#This Row],[UnitPrice]]*Table1[[#This Row],[Quantity]]</f>
        <v>35938</v>
      </c>
      <c r="N164">
        <f>Table1[[#This Row],[Total Price]]*Table1[[#This Row],[Discount]]</f>
        <v>14015.82</v>
      </c>
      <c r="O164">
        <f>Table1[[#This Row],[Total Price]]-Table1[[#This Row],[Discount Amount]]</f>
        <v>21922.18</v>
      </c>
    </row>
    <row r="165" spans="1:15" x14ac:dyDescent="0.3">
      <c r="A165" t="s">
        <v>528</v>
      </c>
      <c r="B165" s="1">
        <v>45832</v>
      </c>
      <c r="C165" t="s">
        <v>529</v>
      </c>
      <c r="D165" t="s">
        <v>25</v>
      </c>
      <c r="E165">
        <v>3</v>
      </c>
      <c r="F165">
        <v>14261</v>
      </c>
      <c r="G165" s="9">
        <v>0.39</v>
      </c>
      <c r="H165" t="s">
        <v>20</v>
      </c>
      <c r="I165" t="s">
        <v>530</v>
      </c>
      <c r="J165" s="14" t="s">
        <v>73</v>
      </c>
      <c r="K165">
        <v>1</v>
      </c>
      <c r="L165" t="s">
        <v>22</v>
      </c>
      <c r="M165">
        <f>Table1[[#This Row],[UnitPrice]]*Table1[[#This Row],[Quantity]]</f>
        <v>42783</v>
      </c>
      <c r="N165">
        <f>Table1[[#This Row],[Total Price]]*Table1[[#This Row],[Discount]]</f>
        <v>16685.37</v>
      </c>
      <c r="O165">
        <f>Table1[[#This Row],[Total Price]]-Table1[[#This Row],[Discount Amount]]</f>
        <v>26097.63</v>
      </c>
    </row>
    <row r="166" spans="1:15" x14ac:dyDescent="0.3">
      <c r="A166" t="s">
        <v>531</v>
      </c>
      <c r="B166" s="1">
        <v>45288</v>
      </c>
      <c r="C166" t="s">
        <v>532</v>
      </c>
      <c r="D166" t="s">
        <v>58</v>
      </c>
      <c r="E166">
        <v>2</v>
      </c>
      <c r="F166">
        <v>8899</v>
      </c>
      <c r="G166" s="9">
        <v>0.3</v>
      </c>
      <c r="H166" t="s">
        <v>45</v>
      </c>
      <c r="I166" t="s">
        <v>533</v>
      </c>
      <c r="J166" s="13" t="s">
        <v>73</v>
      </c>
      <c r="K166">
        <v>5</v>
      </c>
      <c r="L166" t="s">
        <v>60</v>
      </c>
      <c r="M166">
        <f>Table1[[#This Row],[UnitPrice]]*Table1[[#This Row],[Quantity]]</f>
        <v>17798</v>
      </c>
      <c r="N166">
        <f>Table1[[#This Row],[Total Price]]*Table1[[#This Row],[Discount]]</f>
        <v>5339.4</v>
      </c>
      <c r="O166">
        <f>Table1[[#This Row],[Total Price]]-Table1[[#This Row],[Discount Amount]]</f>
        <v>12458.6</v>
      </c>
    </row>
    <row r="167" spans="1:15" x14ac:dyDescent="0.3">
      <c r="A167" t="s">
        <v>534</v>
      </c>
      <c r="B167" s="1">
        <v>45549</v>
      </c>
      <c r="C167" t="s">
        <v>535</v>
      </c>
      <c r="D167" t="s">
        <v>12</v>
      </c>
      <c r="E167">
        <v>1</v>
      </c>
      <c r="F167">
        <v>4963</v>
      </c>
      <c r="G167" s="9">
        <v>0.25</v>
      </c>
      <c r="H167" t="s">
        <v>20</v>
      </c>
      <c r="I167" t="s">
        <v>536</v>
      </c>
      <c r="J167" s="14" t="s">
        <v>14</v>
      </c>
      <c r="K167">
        <v>7</v>
      </c>
      <c r="L167" t="s">
        <v>60</v>
      </c>
      <c r="M167">
        <f>Table1[[#This Row],[UnitPrice]]*Table1[[#This Row],[Quantity]]</f>
        <v>4963</v>
      </c>
      <c r="N167">
        <f>Table1[[#This Row],[Total Price]]*Table1[[#This Row],[Discount]]</f>
        <v>1240.75</v>
      </c>
      <c r="O167">
        <f>Table1[[#This Row],[Total Price]]-Table1[[#This Row],[Discount Amount]]</f>
        <v>3722.25</v>
      </c>
    </row>
    <row r="168" spans="1:15" x14ac:dyDescent="0.3">
      <c r="A168" t="s">
        <v>537</v>
      </c>
      <c r="B168" s="1">
        <v>45720</v>
      </c>
      <c r="C168" t="s">
        <v>538</v>
      </c>
      <c r="D168" t="s">
        <v>31</v>
      </c>
      <c r="E168">
        <v>3</v>
      </c>
      <c r="F168">
        <v>40410</v>
      </c>
      <c r="G168" s="9">
        <v>0.28000000000000003</v>
      </c>
      <c r="H168" t="s">
        <v>50</v>
      </c>
      <c r="I168" t="s">
        <v>539</v>
      </c>
      <c r="J168" s="13" t="s">
        <v>37</v>
      </c>
      <c r="K168">
        <v>6</v>
      </c>
      <c r="L168" t="s">
        <v>16</v>
      </c>
      <c r="M168">
        <f>Table1[[#This Row],[UnitPrice]]*Table1[[#This Row],[Quantity]]</f>
        <v>121230</v>
      </c>
      <c r="N168">
        <f>Table1[[#This Row],[Total Price]]*Table1[[#This Row],[Discount]]</f>
        <v>33944.400000000001</v>
      </c>
      <c r="O168">
        <f>Table1[[#This Row],[Total Price]]-Table1[[#This Row],[Discount Amount]]</f>
        <v>87285.6</v>
      </c>
    </row>
    <row r="169" spans="1:15" x14ac:dyDescent="0.3">
      <c r="A169" t="s">
        <v>540</v>
      </c>
      <c r="B169" s="1">
        <v>45073</v>
      </c>
      <c r="C169" t="s">
        <v>541</v>
      </c>
      <c r="D169" t="s">
        <v>31</v>
      </c>
      <c r="E169">
        <v>3</v>
      </c>
      <c r="F169">
        <v>47789</v>
      </c>
      <c r="G169" s="9">
        <v>0.33</v>
      </c>
      <c r="H169" t="s">
        <v>20</v>
      </c>
      <c r="I169" t="s">
        <v>542</v>
      </c>
      <c r="J169" s="14" t="s">
        <v>37</v>
      </c>
      <c r="K169">
        <v>2</v>
      </c>
      <c r="L169" t="s">
        <v>28</v>
      </c>
      <c r="M169">
        <f>Table1[[#This Row],[UnitPrice]]*Table1[[#This Row],[Quantity]]</f>
        <v>143367</v>
      </c>
      <c r="N169">
        <f>Table1[[#This Row],[Total Price]]*Table1[[#This Row],[Discount]]</f>
        <v>47311.11</v>
      </c>
      <c r="O169">
        <f>Table1[[#This Row],[Total Price]]-Table1[[#This Row],[Discount Amount]]</f>
        <v>96055.89</v>
      </c>
    </row>
    <row r="170" spans="1:15" x14ac:dyDescent="0.3">
      <c r="A170" t="s">
        <v>543</v>
      </c>
      <c r="B170" s="1">
        <v>45661</v>
      </c>
      <c r="C170" t="s">
        <v>544</v>
      </c>
      <c r="D170" t="s">
        <v>36</v>
      </c>
      <c r="E170">
        <v>2</v>
      </c>
      <c r="F170">
        <v>9361</v>
      </c>
      <c r="G170" s="9">
        <v>0.19</v>
      </c>
      <c r="H170" t="s">
        <v>50</v>
      </c>
      <c r="I170" t="s">
        <v>545</v>
      </c>
      <c r="J170" s="13" t="s">
        <v>73</v>
      </c>
      <c r="K170">
        <v>6</v>
      </c>
      <c r="L170" t="s">
        <v>33</v>
      </c>
      <c r="M170">
        <f>Table1[[#This Row],[UnitPrice]]*Table1[[#This Row],[Quantity]]</f>
        <v>18722</v>
      </c>
      <c r="N170">
        <f>Table1[[#This Row],[Total Price]]*Table1[[#This Row],[Discount]]</f>
        <v>3557.18</v>
      </c>
      <c r="O170">
        <f>Table1[[#This Row],[Total Price]]-Table1[[#This Row],[Discount Amount]]</f>
        <v>15164.82</v>
      </c>
    </row>
    <row r="171" spans="1:15" x14ac:dyDescent="0.3">
      <c r="A171" t="s">
        <v>546</v>
      </c>
      <c r="B171" s="1">
        <v>45389</v>
      </c>
      <c r="C171" t="s">
        <v>547</v>
      </c>
      <c r="D171" t="s">
        <v>36</v>
      </c>
      <c r="E171">
        <v>2</v>
      </c>
      <c r="F171">
        <v>5457</v>
      </c>
      <c r="G171" s="9">
        <v>0.39</v>
      </c>
      <c r="H171" t="s">
        <v>20</v>
      </c>
      <c r="I171" t="s">
        <v>548</v>
      </c>
      <c r="J171" s="14" t="s">
        <v>37</v>
      </c>
      <c r="K171">
        <v>2</v>
      </c>
      <c r="L171" t="s">
        <v>28</v>
      </c>
      <c r="M171">
        <f>Table1[[#This Row],[UnitPrice]]*Table1[[#This Row],[Quantity]]</f>
        <v>10914</v>
      </c>
      <c r="N171">
        <f>Table1[[#This Row],[Total Price]]*Table1[[#This Row],[Discount]]</f>
        <v>4256.46</v>
      </c>
      <c r="O171">
        <f>Table1[[#This Row],[Total Price]]-Table1[[#This Row],[Discount Amount]]</f>
        <v>6657.54</v>
      </c>
    </row>
    <row r="172" spans="1:15" x14ac:dyDescent="0.3">
      <c r="A172" t="s">
        <v>549</v>
      </c>
      <c r="B172" s="1">
        <v>45751</v>
      </c>
      <c r="C172" t="s">
        <v>550</v>
      </c>
      <c r="D172" t="s">
        <v>58</v>
      </c>
      <c r="E172">
        <v>3</v>
      </c>
      <c r="F172">
        <v>7624</v>
      </c>
      <c r="G172" s="9">
        <v>0.45</v>
      </c>
      <c r="H172" t="s">
        <v>50</v>
      </c>
      <c r="I172" t="s">
        <v>551</v>
      </c>
      <c r="J172" s="13" t="s">
        <v>37</v>
      </c>
      <c r="K172">
        <v>8</v>
      </c>
      <c r="L172" t="s">
        <v>16</v>
      </c>
      <c r="M172">
        <f>Table1[[#This Row],[UnitPrice]]*Table1[[#This Row],[Quantity]]</f>
        <v>22872</v>
      </c>
      <c r="N172">
        <f>Table1[[#This Row],[Total Price]]*Table1[[#This Row],[Discount]]</f>
        <v>10292.4</v>
      </c>
      <c r="O172">
        <f>Table1[[#This Row],[Total Price]]-Table1[[#This Row],[Discount Amount]]</f>
        <v>12579.6</v>
      </c>
    </row>
    <row r="173" spans="1:15" x14ac:dyDescent="0.3">
      <c r="A173" t="s">
        <v>552</v>
      </c>
      <c r="B173" s="1">
        <v>45153</v>
      </c>
      <c r="C173" t="s">
        <v>553</v>
      </c>
      <c r="D173" t="s">
        <v>25</v>
      </c>
      <c r="E173">
        <v>3</v>
      </c>
      <c r="F173">
        <v>12858</v>
      </c>
      <c r="G173" s="9">
        <v>0.28999999999999998</v>
      </c>
      <c r="H173" t="s">
        <v>26</v>
      </c>
      <c r="I173" t="s">
        <v>554</v>
      </c>
      <c r="J173" s="14" t="s">
        <v>37</v>
      </c>
      <c r="K173">
        <v>7</v>
      </c>
      <c r="L173" t="s">
        <v>16</v>
      </c>
      <c r="M173">
        <f>Table1[[#This Row],[UnitPrice]]*Table1[[#This Row],[Quantity]]</f>
        <v>38574</v>
      </c>
      <c r="N173">
        <f>Table1[[#This Row],[Total Price]]*Table1[[#This Row],[Discount]]</f>
        <v>11186.46</v>
      </c>
      <c r="O173">
        <f>Table1[[#This Row],[Total Price]]-Table1[[#This Row],[Discount Amount]]</f>
        <v>27387.54</v>
      </c>
    </row>
    <row r="174" spans="1:15" x14ac:dyDescent="0.3">
      <c r="A174" t="s">
        <v>555</v>
      </c>
      <c r="B174" s="1">
        <v>45753</v>
      </c>
      <c r="C174" t="s">
        <v>556</v>
      </c>
      <c r="D174" t="s">
        <v>36</v>
      </c>
      <c r="E174">
        <v>2</v>
      </c>
      <c r="F174">
        <v>8122</v>
      </c>
      <c r="G174" s="9">
        <v>0.19</v>
      </c>
      <c r="H174" t="s">
        <v>20</v>
      </c>
      <c r="I174" t="s">
        <v>557</v>
      </c>
      <c r="J174" s="13" t="s">
        <v>37</v>
      </c>
      <c r="K174">
        <v>1</v>
      </c>
      <c r="L174" t="s">
        <v>28</v>
      </c>
      <c r="M174">
        <f>Table1[[#This Row],[UnitPrice]]*Table1[[#This Row],[Quantity]]</f>
        <v>16244</v>
      </c>
      <c r="N174">
        <f>Table1[[#This Row],[Total Price]]*Table1[[#This Row],[Discount]]</f>
        <v>3086.36</v>
      </c>
      <c r="O174">
        <f>Table1[[#This Row],[Total Price]]-Table1[[#This Row],[Discount Amount]]</f>
        <v>13157.64</v>
      </c>
    </row>
    <row r="175" spans="1:15" x14ac:dyDescent="0.3">
      <c r="A175" t="s">
        <v>558</v>
      </c>
      <c r="B175" s="1">
        <v>45375</v>
      </c>
      <c r="C175" t="s">
        <v>559</v>
      </c>
      <c r="D175" t="s">
        <v>19</v>
      </c>
      <c r="E175">
        <v>2</v>
      </c>
      <c r="F175">
        <v>19508</v>
      </c>
      <c r="G175" s="9">
        <v>0.35</v>
      </c>
      <c r="H175" t="s">
        <v>20</v>
      </c>
      <c r="I175" t="s">
        <v>560</v>
      </c>
      <c r="J175" s="14" t="s">
        <v>37</v>
      </c>
      <c r="K175">
        <v>4</v>
      </c>
      <c r="L175" t="s">
        <v>60</v>
      </c>
      <c r="M175">
        <f>Table1[[#This Row],[UnitPrice]]*Table1[[#This Row],[Quantity]]</f>
        <v>39016</v>
      </c>
      <c r="N175">
        <f>Table1[[#This Row],[Total Price]]*Table1[[#This Row],[Discount]]</f>
        <v>13655.599999999999</v>
      </c>
      <c r="O175">
        <f>Table1[[#This Row],[Total Price]]-Table1[[#This Row],[Discount Amount]]</f>
        <v>25360.400000000001</v>
      </c>
    </row>
    <row r="176" spans="1:15" x14ac:dyDescent="0.3">
      <c r="A176" t="s">
        <v>561</v>
      </c>
      <c r="B176" s="1">
        <v>45398</v>
      </c>
      <c r="C176" t="s">
        <v>562</v>
      </c>
      <c r="D176" t="s">
        <v>36</v>
      </c>
      <c r="E176">
        <v>2</v>
      </c>
      <c r="F176">
        <v>9373</v>
      </c>
      <c r="G176" s="9">
        <v>0.09</v>
      </c>
      <c r="H176" t="s">
        <v>13</v>
      </c>
      <c r="I176" t="s">
        <v>563</v>
      </c>
      <c r="J176" s="13" t="s">
        <v>37</v>
      </c>
      <c r="K176">
        <v>9</v>
      </c>
      <c r="L176" t="s">
        <v>28</v>
      </c>
      <c r="M176">
        <f>Table1[[#This Row],[UnitPrice]]*Table1[[#This Row],[Quantity]]</f>
        <v>18746</v>
      </c>
      <c r="N176">
        <f>Table1[[#This Row],[Total Price]]*Table1[[#This Row],[Discount]]</f>
        <v>1687.1399999999999</v>
      </c>
      <c r="O176">
        <f>Table1[[#This Row],[Total Price]]-Table1[[#This Row],[Discount Amount]]</f>
        <v>17058.86</v>
      </c>
    </row>
    <row r="177" spans="1:15" x14ac:dyDescent="0.3">
      <c r="A177" t="s">
        <v>564</v>
      </c>
      <c r="B177" s="1">
        <v>45696</v>
      </c>
      <c r="C177" t="s">
        <v>565</v>
      </c>
      <c r="D177" t="s">
        <v>31</v>
      </c>
      <c r="E177">
        <v>1</v>
      </c>
      <c r="F177">
        <v>48495</v>
      </c>
      <c r="G177" s="9">
        <v>0.48</v>
      </c>
      <c r="H177" t="s">
        <v>13</v>
      </c>
      <c r="I177" t="s">
        <v>566</v>
      </c>
      <c r="J177" s="14" t="s">
        <v>73</v>
      </c>
      <c r="K177">
        <v>6</v>
      </c>
      <c r="L177" t="s">
        <v>22</v>
      </c>
      <c r="M177">
        <f>Table1[[#This Row],[UnitPrice]]*Table1[[#This Row],[Quantity]]</f>
        <v>48495</v>
      </c>
      <c r="N177">
        <f>Table1[[#This Row],[Total Price]]*Table1[[#This Row],[Discount]]</f>
        <v>23277.599999999999</v>
      </c>
      <c r="O177">
        <f>Table1[[#This Row],[Total Price]]-Table1[[#This Row],[Discount Amount]]</f>
        <v>25217.4</v>
      </c>
    </row>
    <row r="178" spans="1:15" x14ac:dyDescent="0.3">
      <c r="A178" t="s">
        <v>567</v>
      </c>
      <c r="B178" s="1">
        <v>45836</v>
      </c>
      <c r="C178" t="s">
        <v>568</v>
      </c>
      <c r="D178" t="s">
        <v>25</v>
      </c>
      <c r="E178">
        <v>2</v>
      </c>
      <c r="F178">
        <v>13491</v>
      </c>
      <c r="G178" s="9">
        <v>0.33</v>
      </c>
      <c r="H178" t="s">
        <v>45</v>
      </c>
      <c r="I178" t="s">
        <v>569</v>
      </c>
      <c r="J178" s="13" t="s">
        <v>73</v>
      </c>
      <c r="K178">
        <v>8</v>
      </c>
      <c r="L178" t="s">
        <v>22</v>
      </c>
      <c r="M178">
        <f>Table1[[#This Row],[UnitPrice]]*Table1[[#This Row],[Quantity]]</f>
        <v>26982</v>
      </c>
      <c r="N178">
        <f>Table1[[#This Row],[Total Price]]*Table1[[#This Row],[Discount]]</f>
        <v>8904.0600000000013</v>
      </c>
      <c r="O178">
        <f>Table1[[#This Row],[Total Price]]-Table1[[#This Row],[Discount Amount]]</f>
        <v>18077.939999999999</v>
      </c>
    </row>
    <row r="179" spans="1:15" x14ac:dyDescent="0.3">
      <c r="A179" t="s">
        <v>570</v>
      </c>
      <c r="B179" s="1">
        <v>45143</v>
      </c>
      <c r="C179" t="s">
        <v>571</v>
      </c>
      <c r="D179" t="s">
        <v>31</v>
      </c>
      <c r="E179">
        <v>3</v>
      </c>
      <c r="F179">
        <v>26385</v>
      </c>
      <c r="G179" s="9">
        <v>0.03</v>
      </c>
      <c r="H179" t="s">
        <v>26</v>
      </c>
      <c r="I179" t="s">
        <v>572</v>
      </c>
      <c r="J179" s="14" t="s">
        <v>73</v>
      </c>
      <c r="K179">
        <v>10</v>
      </c>
      <c r="L179" t="s">
        <v>33</v>
      </c>
      <c r="M179">
        <f>Table1[[#This Row],[UnitPrice]]*Table1[[#This Row],[Quantity]]</f>
        <v>79155</v>
      </c>
      <c r="N179">
        <f>Table1[[#This Row],[Total Price]]*Table1[[#This Row],[Discount]]</f>
        <v>2374.65</v>
      </c>
      <c r="O179">
        <f>Table1[[#This Row],[Total Price]]-Table1[[#This Row],[Discount Amount]]</f>
        <v>76780.350000000006</v>
      </c>
    </row>
    <row r="180" spans="1:15" x14ac:dyDescent="0.3">
      <c r="A180" t="s">
        <v>573</v>
      </c>
      <c r="B180" s="1">
        <v>45393</v>
      </c>
      <c r="C180" t="s">
        <v>574</v>
      </c>
      <c r="D180" t="s">
        <v>31</v>
      </c>
      <c r="E180">
        <v>1</v>
      </c>
      <c r="F180">
        <v>16242</v>
      </c>
      <c r="G180" s="9">
        <v>0.26</v>
      </c>
      <c r="H180" t="s">
        <v>20</v>
      </c>
      <c r="I180" t="s">
        <v>575</v>
      </c>
      <c r="J180" s="13" t="s">
        <v>37</v>
      </c>
      <c r="K180">
        <v>5</v>
      </c>
      <c r="L180" t="s">
        <v>60</v>
      </c>
      <c r="M180">
        <f>Table1[[#This Row],[UnitPrice]]*Table1[[#This Row],[Quantity]]</f>
        <v>16242</v>
      </c>
      <c r="N180">
        <f>Table1[[#This Row],[Total Price]]*Table1[[#This Row],[Discount]]</f>
        <v>4222.92</v>
      </c>
      <c r="O180">
        <f>Table1[[#This Row],[Total Price]]-Table1[[#This Row],[Discount Amount]]</f>
        <v>12019.08</v>
      </c>
    </row>
    <row r="181" spans="1:15" x14ac:dyDescent="0.3">
      <c r="A181" t="s">
        <v>576</v>
      </c>
      <c r="B181" s="1">
        <v>45620</v>
      </c>
      <c r="C181" t="s">
        <v>577</v>
      </c>
      <c r="D181" t="s">
        <v>44</v>
      </c>
      <c r="E181">
        <v>3</v>
      </c>
      <c r="F181">
        <v>78788</v>
      </c>
      <c r="G181" s="9">
        <v>0.38</v>
      </c>
      <c r="H181" t="s">
        <v>26</v>
      </c>
      <c r="I181" t="s">
        <v>578</v>
      </c>
      <c r="J181" s="14" t="s">
        <v>37</v>
      </c>
      <c r="K181">
        <v>8</v>
      </c>
      <c r="L181" t="s">
        <v>28</v>
      </c>
      <c r="M181">
        <f>Table1[[#This Row],[UnitPrice]]*Table1[[#This Row],[Quantity]]</f>
        <v>236364</v>
      </c>
      <c r="N181">
        <f>Table1[[#This Row],[Total Price]]*Table1[[#This Row],[Discount]]</f>
        <v>89818.32</v>
      </c>
      <c r="O181">
        <f>Table1[[#This Row],[Total Price]]-Table1[[#This Row],[Discount Amount]]</f>
        <v>146545.68</v>
      </c>
    </row>
    <row r="182" spans="1:15" x14ac:dyDescent="0.3">
      <c r="A182" t="s">
        <v>579</v>
      </c>
      <c r="B182" s="1">
        <v>45003</v>
      </c>
      <c r="C182" t="s">
        <v>580</v>
      </c>
      <c r="D182" t="s">
        <v>25</v>
      </c>
      <c r="E182">
        <v>2</v>
      </c>
      <c r="F182">
        <v>7358</v>
      </c>
      <c r="G182" s="9">
        <v>0.14000000000000001</v>
      </c>
      <c r="H182" t="s">
        <v>50</v>
      </c>
      <c r="I182" t="s">
        <v>581</v>
      </c>
      <c r="J182" s="13" t="s">
        <v>14</v>
      </c>
      <c r="K182">
        <v>10</v>
      </c>
      <c r="L182" t="s">
        <v>60</v>
      </c>
      <c r="M182">
        <f>Table1[[#This Row],[UnitPrice]]*Table1[[#This Row],[Quantity]]</f>
        <v>14716</v>
      </c>
      <c r="N182">
        <f>Table1[[#This Row],[Total Price]]*Table1[[#This Row],[Discount]]</f>
        <v>2060.2400000000002</v>
      </c>
      <c r="O182">
        <f>Table1[[#This Row],[Total Price]]-Table1[[#This Row],[Discount Amount]]</f>
        <v>12655.76</v>
      </c>
    </row>
    <row r="183" spans="1:15" x14ac:dyDescent="0.3">
      <c r="A183" t="s">
        <v>582</v>
      </c>
      <c r="B183" s="1">
        <v>45535</v>
      </c>
      <c r="C183" t="s">
        <v>583</v>
      </c>
      <c r="D183" t="s">
        <v>36</v>
      </c>
      <c r="E183">
        <v>3</v>
      </c>
      <c r="F183">
        <v>9887</v>
      </c>
      <c r="G183" s="9">
        <v>0.03</v>
      </c>
      <c r="H183" t="s">
        <v>20</v>
      </c>
      <c r="I183" t="s">
        <v>584</v>
      </c>
      <c r="J183" s="14" t="s">
        <v>14</v>
      </c>
      <c r="K183">
        <v>10</v>
      </c>
      <c r="L183" t="s">
        <v>22</v>
      </c>
      <c r="M183">
        <f>Table1[[#This Row],[UnitPrice]]*Table1[[#This Row],[Quantity]]</f>
        <v>29661</v>
      </c>
      <c r="N183">
        <f>Table1[[#This Row],[Total Price]]*Table1[[#This Row],[Discount]]</f>
        <v>889.82999999999993</v>
      </c>
      <c r="O183">
        <f>Table1[[#This Row],[Total Price]]-Table1[[#This Row],[Discount Amount]]</f>
        <v>28771.17</v>
      </c>
    </row>
    <row r="184" spans="1:15" x14ac:dyDescent="0.3">
      <c r="A184" t="s">
        <v>585</v>
      </c>
      <c r="B184" s="1">
        <v>45735</v>
      </c>
      <c r="C184" t="s">
        <v>586</v>
      </c>
      <c r="D184" t="s">
        <v>58</v>
      </c>
      <c r="E184">
        <v>2</v>
      </c>
      <c r="F184">
        <v>3578</v>
      </c>
      <c r="G184" s="9">
        <v>0.24</v>
      </c>
      <c r="H184" t="s">
        <v>13</v>
      </c>
      <c r="I184" t="s">
        <v>587</v>
      </c>
      <c r="J184" s="13" t="s">
        <v>73</v>
      </c>
      <c r="K184">
        <v>4</v>
      </c>
      <c r="L184" t="s">
        <v>60</v>
      </c>
      <c r="M184">
        <f>Table1[[#This Row],[UnitPrice]]*Table1[[#This Row],[Quantity]]</f>
        <v>7156</v>
      </c>
      <c r="N184">
        <f>Table1[[#This Row],[Total Price]]*Table1[[#This Row],[Discount]]</f>
        <v>1717.4399999999998</v>
      </c>
      <c r="O184">
        <f>Table1[[#This Row],[Total Price]]-Table1[[#This Row],[Discount Amount]]</f>
        <v>5438.56</v>
      </c>
    </row>
    <row r="185" spans="1:15" x14ac:dyDescent="0.3">
      <c r="A185" t="s">
        <v>588</v>
      </c>
      <c r="B185" s="1">
        <v>45400</v>
      </c>
      <c r="C185" t="s">
        <v>589</v>
      </c>
      <c r="D185" t="s">
        <v>12</v>
      </c>
      <c r="E185">
        <v>3</v>
      </c>
      <c r="F185">
        <v>2849</v>
      </c>
      <c r="G185" s="9">
        <v>0.42</v>
      </c>
      <c r="H185" t="s">
        <v>13</v>
      </c>
      <c r="I185" t="s">
        <v>590</v>
      </c>
      <c r="J185" s="14" t="s">
        <v>37</v>
      </c>
      <c r="K185">
        <v>8</v>
      </c>
      <c r="L185" t="s">
        <v>28</v>
      </c>
      <c r="M185">
        <f>Table1[[#This Row],[UnitPrice]]*Table1[[#This Row],[Quantity]]</f>
        <v>8547</v>
      </c>
      <c r="N185">
        <f>Table1[[#This Row],[Total Price]]*Table1[[#This Row],[Discount]]</f>
        <v>3589.74</v>
      </c>
      <c r="O185">
        <f>Table1[[#This Row],[Total Price]]-Table1[[#This Row],[Discount Amount]]</f>
        <v>4957.26</v>
      </c>
    </row>
    <row r="186" spans="1:15" x14ac:dyDescent="0.3">
      <c r="A186" t="s">
        <v>591</v>
      </c>
      <c r="B186" s="1">
        <v>45386</v>
      </c>
      <c r="C186" t="s">
        <v>592</v>
      </c>
      <c r="D186" t="s">
        <v>25</v>
      </c>
      <c r="E186">
        <v>1</v>
      </c>
      <c r="F186">
        <v>5716</v>
      </c>
      <c r="G186" s="9">
        <v>0.13</v>
      </c>
      <c r="H186" t="s">
        <v>45</v>
      </c>
      <c r="I186" t="s">
        <v>593</v>
      </c>
      <c r="J186" s="13" t="s">
        <v>73</v>
      </c>
      <c r="K186">
        <v>7</v>
      </c>
      <c r="L186" t="s">
        <v>22</v>
      </c>
      <c r="M186">
        <f>Table1[[#This Row],[UnitPrice]]*Table1[[#This Row],[Quantity]]</f>
        <v>5716</v>
      </c>
      <c r="N186">
        <f>Table1[[#This Row],[Total Price]]*Table1[[#This Row],[Discount]]</f>
        <v>743.08</v>
      </c>
      <c r="O186">
        <f>Table1[[#This Row],[Total Price]]-Table1[[#This Row],[Discount Amount]]</f>
        <v>4972.92</v>
      </c>
    </row>
    <row r="187" spans="1:15" x14ac:dyDescent="0.3">
      <c r="A187" t="s">
        <v>594</v>
      </c>
      <c r="B187" s="1">
        <v>45690</v>
      </c>
      <c r="C187" t="s">
        <v>595</v>
      </c>
      <c r="D187" t="s">
        <v>44</v>
      </c>
      <c r="E187">
        <v>1</v>
      </c>
      <c r="F187">
        <v>67997</v>
      </c>
      <c r="G187" s="9">
        <v>0.36</v>
      </c>
      <c r="H187" t="s">
        <v>20</v>
      </c>
      <c r="I187" t="s">
        <v>596</v>
      </c>
      <c r="J187" s="14" t="s">
        <v>14</v>
      </c>
      <c r="K187">
        <v>2</v>
      </c>
      <c r="L187" t="s">
        <v>22</v>
      </c>
      <c r="M187">
        <f>Table1[[#This Row],[UnitPrice]]*Table1[[#This Row],[Quantity]]</f>
        <v>67997</v>
      </c>
      <c r="N187">
        <f>Table1[[#This Row],[Total Price]]*Table1[[#This Row],[Discount]]</f>
        <v>24478.92</v>
      </c>
      <c r="O187">
        <f>Table1[[#This Row],[Total Price]]-Table1[[#This Row],[Discount Amount]]</f>
        <v>43518.080000000002</v>
      </c>
    </row>
    <row r="188" spans="1:15" x14ac:dyDescent="0.3">
      <c r="A188" t="s">
        <v>597</v>
      </c>
      <c r="B188" s="1">
        <v>45267</v>
      </c>
      <c r="C188" t="s">
        <v>598</v>
      </c>
      <c r="D188" t="s">
        <v>19</v>
      </c>
      <c r="E188">
        <v>3</v>
      </c>
      <c r="F188">
        <v>17540</v>
      </c>
      <c r="G188" s="9">
        <v>0.2</v>
      </c>
      <c r="H188" t="s">
        <v>50</v>
      </c>
      <c r="I188" t="s">
        <v>599</v>
      </c>
      <c r="J188" s="13" t="s">
        <v>73</v>
      </c>
      <c r="K188">
        <v>7</v>
      </c>
      <c r="L188" t="s">
        <v>33</v>
      </c>
      <c r="M188">
        <f>Table1[[#This Row],[UnitPrice]]*Table1[[#This Row],[Quantity]]</f>
        <v>52620</v>
      </c>
      <c r="N188">
        <f>Table1[[#This Row],[Total Price]]*Table1[[#This Row],[Discount]]</f>
        <v>10524</v>
      </c>
      <c r="O188">
        <f>Table1[[#This Row],[Total Price]]-Table1[[#This Row],[Discount Amount]]</f>
        <v>42096</v>
      </c>
    </row>
    <row r="189" spans="1:15" x14ac:dyDescent="0.3">
      <c r="A189" t="s">
        <v>600</v>
      </c>
      <c r="B189" s="1">
        <v>44965</v>
      </c>
      <c r="C189" t="s">
        <v>601</v>
      </c>
      <c r="D189" t="s">
        <v>31</v>
      </c>
      <c r="E189">
        <v>3</v>
      </c>
      <c r="F189">
        <v>36110</v>
      </c>
      <c r="G189" s="9">
        <v>0.03</v>
      </c>
      <c r="H189" t="s">
        <v>45</v>
      </c>
      <c r="I189" t="s">
        <v>602</v>
      </c>
      <c r="J189" s="14" t="s">
        <v>37</v>
      </c>
      <c r="K189">
        <v>6</v>
      </c>
      <c r="L189" t="s">
        <v>22</v>
      </c>
      <c r="M189">
        <f>Table1[[#This Row],[UnitPrice]]*Table1[[#This Row],[Quantity]]</f>
        <v>108330</v>
      </c>
      <c r="N189">
        <f>Table1[[#This Row],[Total Price]]*Table1[[#This Row],[Discount]]</f>
        <v>3249.9</v>
      </c>
      <c r="O189">
        <f>Table1[[#This Row],[Total Price]]-Table1[[#This Row],[Discount Amount]]</f>
        <v>105080.1</v>
      </c>
    </row>
    <row r="190" spans="1:15" x14ac:dyDescent="0.3">
      <c r="A190" t="s">
        <v>603</v>
      </c>
      <c r="B190" s="1">
        <v>45731</v>
      </c>
      <c r="C190" t="s">
        <v>604</v>
      </c>
      <c r="D190" t="s">
        <v>31</v>
      </c>
      <c r="E190">
        <v>1</v>
      </c>
      <c r="F190">
        <v>31182</v>
      </c>
      <c r="G190" s="9">
        <v>0.15</v>
      </c>
      <c r="H190" t="s">
        <v>45</v>
      </c>
      <c r="I190" t="s">
        <v>605</v>
      </c>
      <c r="J190" s="13" t="s">
        <v>14</v>
      </c>
      <c r="K190">
        <v>2</v>
      </c>
      <c r="L190" t="s">
        <v>22</v>
      </c>
      <c r="M190">
        <f>Table1[[#This Row],[UnitPrice]]*Table1[[#This Row],[Quantity]]</f>
        <v>31182</v>
      </c>
      <c r="N190">
        <f>Table1[[#This Row],[Total Price]]*Table1[[#This Row],[Discount]]</f>
        <v>4677.3</v>
      </c>
      <c r="O190">
        <f>Table1[[#This Row],[Total Price]]-Table1[[#This Row],[Discount Amount]]</f>
        <v>26504.7</v>
      </c>
    </row>
    <row r="191" spans="1:15" x14ac:dyDescent="0.3">
      <c r="A191" t="s">
        <v>606</v>
      </c>
      <c r="B191" s="1">
        <v>45112</v>
      </c>
      <c r="C191" t="s">
        <v>607</v>
      </c>
      <c r="D191" t="s">
        <v>36</v>
      </c>
      <c r="E191">
        <v>1</v>
      </c>
      <c r="F191">
        <v>6757</v>
      </c>
      <c r="G191" s="9">
        <v>0.16</v>
      </c>
      <c r="H191" t="s">
        <v>45</v>
      </c>
      <c r="I191" t="s">
        <v>608</v>
      </c>
      <c r="J191" s="14" t="s">
        <v>37</v>
      </c>
      <c r="K191">
        <v>5</v>
      </c>
      <c r="L191" t="s">
        <v>28</v>
      </c>
      <c r="M191">
        <f>Table1[[#This Row],[UnitPrice]]*Table1[[#This Row],[Quantity]]</f>
        <v>6757</v>
      </c>
      <c r="N191">
        <f>Table1[[#This Row],[Total Price]]*Table1[[#This Row],[Discount]]</f>
        <v>1081.1200000000001</v>
      </c>
      <c r="O191">
        <f>Table1[[#This Row],[Total Price]]-Table1[[#This Row],[Discount Amount]]</f>
        <v>5675.88</v>
      </c>
    </row>
    <row r="192" spans="1:15" x14ac:dyDescent="0.3">
      <c r="A192" t="s">
        <v>609</v>
      </c>
      <c r="B192" s="1">
        <v>45535</v>
      </c>
      <c r="C192" t="s">
        <v>610</v>
      </c>
      <c r="D192" t="s">
        <v>36</v>
      </c>
      <c r="E192">
        <v>1</v>
      </c>
      <c r="F192">
        <v>8875</v>
      </c>
      <c r="G192" s="9">
        <v>0.45</v>
      </c>
      <c r="H192" t="s">
        <v>50</v>
      </c>
      <c r="I192" t="s">
        <v>611</v>
      </c>
      <c r="J192" s="13" t="s">
        <v>73</v>
      </c>
      <c r="K192">
        <v>3</v>
      </c>
      <c r="L192" t="s">
        <v>28</v>
      </c>
      <c r="M192">
        <f>Table1[[#This Row],[UnitPrice]]*Table1[[#This Row],[Quantity]]</f>
        <v>8875</v>
      </c>
      <c r="N192">
        <f>Table1[[#This Row],[Total Price]]*Table1[[#This Row],[Discount]]</f>
        <v>3993.75</v>
      </c>
      <c r="O192">
        <f>Table1[[#This Row],[Total Price]]-Table1[[#This Row],[Discount Amount]]</f>
        <v>4881.25</v>
      </c>
    </row>
    <row r="193" spans="1:15" x14ac:dyDescent="0.3">
      <c r="A193" t="s">
        <v>612</v>
      </c>
      <c r="B193" s="1">
        <v>45724</v>
      </c>
      <c r="C193" t="s">
        <v>613</v>
      </c>
      <c r="D193" t="s">
        <v>44</v>
      </c>
      <c r="E193">
        <v>3</v>
      </c>
      <c r="F193">
        <v>64641</v>
      </c>
      <c r="G193" s="9">
        <v>0.49</v>
      </c>
      <c r="H193" t="s">
        <v>20</v>
      </c>
      <c r="I193" t="s">
        <v>614</v>
      </c>
      <c r="J193" s="14" t="s">
        <v>14</v>
      </c>
      <c r="K193">
        <v>4</v>
      </c>
      <c r="L193" t="s">
        <v>60</v>
      </c>
      <c r="M193">
        <f>Table1[[#This Row],[UnitPrice]]*Table1[[#This Row],[Quantity]]</f>
        <v>193923</v>
      </c>
      <c r="N193">
        <f>Table1[[#This Row],[Total Price]]*Table1[[#This Row],[Discount]]</f>
        <v>95022.27</v>
      </c>
      <c r="O193">
        <f>Table1[[#This Row],[Total Price]]-Table1[[#This Row],[Discount Amount]]</f>
        <v>98900.73</v>
      </c>
    </row>
    <row r="194" spans="1:15" x14ac:dyDescent="0.3">
      <c r="A194" t="s">
        <v>615</v>
      </c>
      <c r="B194" s="1">
        <v>45149</v>
      </c>
      <c r="C194" t="s">
        <v>616</v>
      </c>
      <c r="D194" t="s">
        <v>58</v>
      </c>
      <c r="E194">
        <v>1</v>
      </c>
      <c r="F194">
        <v>5259</v>
      </c>
      <c r="G194" s="9">
        <v>0.1</v>
      </c>
      <c r="H194" t="s">
        <v>45</v>
      </c>
      <c r="I194" t="s">
        <v>617</v>
      </c>
      <c r="J194" s="13" t="s">
        <v>37</v>
      </c>
      <c r="K194">
        <v>5</v>
      </c>
      <c r="L194" t="s">
        <v>60</v>
      </c>
      <c r="M194">
        <f>Table1[[#This Row],[UnitPrice]]*Table1[[#This Row],[Quantity]]</f>
        <v>5259</v>
      </c>
      <c r="N194">
        <f>Table1[[#This Row],[Total Price]]*Table1[[#This Row],[Discount]]</f>
        <v>525.9</v>
      </c>
      <c r="O194">
        <f>Table1[[#This Row],[Total Price]]-Table1[[#This Row],[Discount Amount]]</f>
        <v>4733.1000000000004</v>
      </c>
    </row>
    <row r="195" spans="1:15" x14ac:dyDescent="0.3">
      <c r="A195" t="s">
        <v>618</v>
      </c>
      <c r="B195" s="1">
        <v>45128</v>
      </c>
      <c r="C195" t="s">
        <v>619</v>
      </c>
      <c r="D195" t="s">
        <v>36</v>
      </c>
      <c r="E195">
        <v>1</v>
      </c>
      <c r="F195">
        <v>8023</v>
      </c>
      <c r="G195" s="9">
        <v>0.22</v>
      </c>
      <c r="H195" t="s">
        <v>50</v>
      </c>
      <c r="I195" t="s">
        <v>620</v>
      </c>
      <c r="J195" s="14" t="s">
        <v>37</v>
      </c>
      <c r="K195">
        <v>6</v>
      </c>
      <c r="L195" t="s">
        <v>60</v>
      </c>
      <c r="M195">
        <f>Table1[[#This Row],[UnitPrice]]*Table1[[#This Row],[Quantity]]</f>
        <v>8023</v>
      </c>
      <c r="N195">
        <f>Table1[[#This Row],[Total Price]]*Table1[[#This Row],[Discount]]</f>
        <v>1765.06</v>
      </c>
      <c r="O195">
        <f>Table1[[#This Row],[Total Price]]-Table1[[#This Row],[Discount Amount]]</f>
        <v>6257.9400000000005</v>
      </c>
    </row>
    <row r="196" spans="1:15" x14ac:dyDescent="0.3">
      <c r="A196" t="s">
        <v>621</v>
      </c>
      <c r="B196" s="1">
        <v>45451</v>
      </c>
      <c r="C196" t="s">
        <v>622</v>
      </c>
      <c r="D196" t="s">
        <v>12</v>
      </c>
      <c r="E196">
        <v>1</v>
      </c>
      <c r="F196">
        <v>3979</v>
      </c>
      <c r="G196" s="9">
        <v>0.49</v>
      </c>
      <c r="H196" t="s">
        <v>50</v>
      </c>
      <c r="I196" t="s">
        <v>623</v>
      </c>
      <c r="J196" s="13" t="s">
        <v>14</v>
      </c>
      <c r="K196">
        <v>3</v>
      </c>
      <c r="L196" t="s">
        <v>60</v>
      </c>
      <c r="M196">
        <f>Table1[[#This Row],[UnitPrice]]*Table1[[#This Row],[Quantity]]</f>
        <v>3979</v>
      </c>
      <c r="N196">
        <f>Table1[[#This Row],[Total Price]]*Table1[[#This Row],[Discount]]</f>
        <v>1949.71</v>
      </c>
      <c r="O196">
        <f>Table1[[#This Row],[Total Price]]-Table1[[#This Row],[Discount Amount]]</f>
        <v>2029.29</v>
      </c>
    </row>
    <row r="197" spans="1:15" x14ac:dyDescent="0.3">
      <c r="A197" t="s">
        <v>624</v>
      </c>
      <c r="B197" s="1">
        <v>45404</v>
      </c>
      <c r="C197" t="s">
        <v>625</v>
      </c>
      <c r="D197" t="s">
        <v>31</v>
      </c>
      <c r="E197">
        <v>3</v>
      </c>
      <c r="F197">
        <v>32323</v>
      </c>
      <c r="G197" s="9">
        <v>0.2</v>
      </c>
      <c r="H197" t="s">
        <v>13</v>
      </c>
      <c r="I197" t="s">
        <v>626</v>
      </c>
      <c r="J197" s="14" t="s">
        <v>73</v>
      </c>
      <c r="K197">
        <v>6</v>
      </c>
      <c r="L197" t="s">
        <v>28</v>
      </c>
      <c r="M197">
        <f>Table1[[#This Row],[UnitPrice]]*Table1[[#This Row],[Quantity]]</f>
        <v>96969</v>
      </c>
      <c r="N197">
        <f>Table1[[#This Row],[Total Price]]*Table1[[#This Row],[Discount]]</f>
        <v>19393.8</v>
      </c>
      <c r="O197">
        <f>Table1[[#This Row],[Total Price]]-Table1[[#This Row],[Discount Amount]]</f>
        <v>77575.199999999997</v>
      </c>
    </row>
    <row r="198" spans="1:15" x14ac:dyDescent="0.3">
      <c r="A198" t="s">
        <v>627</v>
      </c>
      <c r="B198" s="1">
        <v>45681</v>
      </c>
      <c r="C198" t="s">
        <v>628</v>
      </c>
      <c r="D198" t="s">
        <v>58</v>
      </c>
      <c r="E198">
        <v>1</v>
      </c>
      <c r="F198">
        <v>7944</v>
      </c>
      <c r="G198" s="9">
        <v>0.17</v>
      </c>
      <c r="H198" t="s">
        <v>50</v>
      </c>
      <c r="I198" t="s">
        <v>629</v>
      </c>
      <c r="J198" s="13" t="s">
        <v>37</v>
      </c>
      <c r="K198">
        <v>8</v>
      </c>
      <c r="L198" t="s">
        <v>28</v>
      </c>
      <c r="M198">
        <f>Table1[[#This Row],[UnitPrice]]*Table1[[#This Row],[Quantity]]</f>
        <v>7944</v>
      </c>
      <c r="N198">
        <f>Table1[[#This Row],[Total Price]]*Table1[[#This Row],[Discount]]</f>
        <v>1350.48</v>
      </c>
      <c r="O198">
        <f>Table1[[#This Row],[Total Price]]-Table1[[#This Row],[Discount Amount]]</f>
        <v>6593.52</v>
      </c>
    </row>
    <row r="199" spans="1:15" x14ac:dyDescent="0.3">
      <c r="A199" t="s">
        <v>630</v>
      </c>
      <c r="B199" s="1">
        <v>45165</v>
      </c>
      <c r="C199" t="s">
        <v>631</v>
      </c>
      <c r="D199" t="s">
        <v>44</v>
      </c>
      <c r="E199">
        <v>1</v>
      </c>
      <c r="F199">
        <v>34781</v>
      </c>
      <c r="G199" s="9">
        <v>0.05</v>
      </c>
      <c r="H199" t="s">
        <v>50</v>
      </c>
      <c r="I199" t="s">
        <v>632</v>
      </c>
      <c r="J199" s="14" t="s">
        <v>73</v>
      </c>
      <c r="K199">
        <v>5</v>
      </c>
      <c r="L199" t="s">
        <v>22</v>
      </c>
      <c r="M199">
        <f>Table1[[#This Row],[UnitPrice]]*Table1[[#This Row],[Quantity]]</f>
        <v>34781</v>
      </c>
      <c r="N199">
        <f>Table1[[#This Row],[Total Price]]*Table1[[#This Row],[Discount]]</f>
        <v>1739.0500000000002</v>
      </c>
      <c r="O199">
        <f>Table1[[#This Row],[Total Price]]-Table1[[#This Row],[Discount Amount]]</f>
        <v>33041.949999999997</v>
      </c>
    </row>
    <row r="200" spans="1:15" x14ac:dyDescent="0.3">
      <c r="A200" t="s">
        <v>633</v>
      </c>
      <c r="B200" s="1">
        <v>45454</v>
      </c>
      <c r="C200" t="s">
        <v>634</v>
      </c>
      <c r="D200" t="s">
        <v>44</v>
      </c>
      <c r="E200">
        <v>2</v>
      </c>
      <c r="F200">
        <v>61834</v>
      </c>
      <c r="G200" s="9">
        <v>0.38</v>
      </c>
      <c r="H200" t="s">
        <v>50</v>
      </c>
      <c r="I200" t="s">
        <v>635</v>
      </c>
      <c r="J200" s="13" t="s">
        <v>14</v>
      </c>
      <c r="K200">
        <v>8</v>
      </c>
      <c r="L200" t="s">
        <v>22</v>
      </c>
      <c r="M200">
        <f>Table1[[#This Row],[UnitPrice]]*Table1[[#This Row],[Quantity]]</f>
        <v>123668</v>
      </c>
      <c r="N200">
        <f>Table1[[#This Row],[Total Price]]*Table1[[#This Row],[Discount]]</f>
        <v>46993.840000000004</v>
      </c>
      <c r="O200">
        <f>Table1[[#This Row],[Total Price]]-Table1[[#This Row],[Discount Amount]]</f>
        <v>76674.16</v>
      </c>
    </row>
    <row r="201" spans="1:15" x14ac:dyDescent="0.3">
      <c r="A201" t="s">
        <v>636</v>
      </c>
      <c r="B201" s="1">
        <v>45680</v>
      </c>
      <c r="C201" t="s">
        <v>637</v>
      </c>
      <c r="D201" t="s">
        <v>19</v>
      </c>
      <c r="E201">
        <v>1</v>
      </c>
      <c r="F201">
        <v>32501</v>
      </c>
      <c r="G201" s="9">
        <v>0.22</v>
      </c>
      <c r="H201" t="s">
        <v>20</v>
      </c>
      <c r="I201" t="s">
        <v>638</v>
      </c>
      <c r="J201" s="14" t="s">
        <v>73</v>
      </c>
      <c r="K201">
        <v>5</v>
      </c>
      <c r="L201" t="s">
        <v>60</v>
      </c>
      <c r="M201">
        <f>Table1[[#This Row],[UnitPrice]]*Table1[[#This Row],[Quantity]]</f>
        <v>32501</v>
      </c>
      <c r="N201">
        <f>Table1[[#This Row],[Total Price]]*Table1[[#This Row],[Discount]]</f>
        <v>7150.22</v>
      </c>
      <c r="O201">
        <f>Table1[[#This Row],[Total Price]]-Table1[[#This Row],[Discount Amount]]</f>
        <v>25350.78</v>
      </c>
    </row>
    <row r="202" spans="1:15" x14ac:dyDescent="0.3">
      <c r="A202" t="s">
        <v>639</v>
      </c>
      <c r="B202" s="1">
        <v>45815</v>
      </c>
      <c r="C202" t="s">
        <v>640</v>
      </c>
      <c r="D202" t="s">
        <v>25</v>
      </c>
      <c r="E202">
        <v>1</v>
      </c>
      <c r="F202">
        <v>1298</v>
      </c>
      <c r="G202" s="9">
        <v>0.32</v>
      </c>
      <c r="H202" t="s">
        <v>26</v>
      </c>
      <c r="I202" t="s">
        <v>641</v>
      </c>
      <c r="J202" s="13" t="s">
        <v>37</v>
      </c>
      <c r="K202">
        <v>9</v>
      </c>
      <c r="L202" t="s">
        <v>60</v>
      </c>
      <c r="M202">
        <f>Table1[[#This Row],[UnitPrice]]*Table1[[#This Row],[Quantity]]</f>
        <v>1298</v>
      </c>
      <c r="N202">
        <f>Table1[[#This Row],[Total Price]]*Table1[[#This Row],[Discount]]</f>
        <v>415.36</v>
      </c>
      <c r="O202">
        <f>Table1[[#This Row],[Total Price]]-Table1[[#This Row],[Discount Amount]]</f>
        <v>882.64</v>
      </c>
    </row>
    <row r="203" spans="1:15" x14ac:dyDescent="0.3">
      <c r="A203" t="s">
        <v>642</v>
      </c>
      <c r="B203" s="1">
        <v>45095</v>
      </c>
      <c r="C203" t="s">
        <v>643</v>
      </c>
      <c r="D203" t="s">
        <v>12</v>
      </c>
      <c r="E203">
        <v>1</v>
      </c>
      <c r="F203">
        <v>4556</v>
      </c>
      <c r="G203" s="9">
        <v>0.25</v>
      </c>
      <c r="H203" t="s">
        <v>20</v>
      </c>
      <c r="I203" t="s">
        <v>644</v>
      </c>
      <c r="J203" s="14" t="s">
        <v>14</v>
      </c>
      <c r="K203">
        <v>4</v>
      </c>
      <c r="L203" t="s">
        <v>33</v>
      </c>
      <c r="M203">
        <f>Table1[[#This Row],[UnitPrice]]*Table1[[#This Row],[Quantity]]</f>
        <v>4556</v>
      </c>
      <c r="N203">
        <f>Table1[[#This Row],[Total Price]]*Table1[[#This Row],[Discount]]</f>
        <v>1139</v>
      </c>
      <c r="O203">
        <f>Table1[[#This Row],[Total Price]]-Table1[[#This Row],[Discount Amount]]</f>
        <v>3417</v>
      </c>
    </row>
    <row r="204" spans="1:15" x14ac:dyDescent="0.3">
      <c r="A204" t="s">
        <v>645</v>
      </c>
      <c r="B204" s="1">
        <v>45694</v>
      </c>
      <c r="C204" t="s">
        <v>646</v>
      </c>
      <c r="D204" t="s">
        <v>12</v>
      </c>
      <c r="E204">
        <v>2</v>
      </c>
      <c r="F204">
        <v>9451</v>
      </c>
      <c r="G204" s="9">
        <v>0.09</v>
      </c>
      <c r="H204" t="s">
        <v>26</v>
      </c>
      <c r="I204" t="s">
        <v>647</v>
      </c>
      <c r="J204" s="13" t="s">
        <v>14</v>
      </c>
      <c r="K204">
        <v>3</v>
      </c>
      <c r="L204" t="s">
        <v>28</v>
      </c>
      <c r="M204">
        <f>Table1[[#This Row],[UnitPrice]]*Table1[[#This Row],[Quantity]]</f>
        <v>18902</v>
      </c>
      <c r="N204">
        <f>Table1[[#This Row],[Total Price]]*Table1[[#This Row],[Discount]]</f>
        <v>1701.1799999999998</v>
      </c>
      <c r="O204">
        <f>Table1[[#This Row],[Total Price]]-Table1[[#This Row],[Discount Amount]]</f>
        <v>17200.82</v>
      </c>
    </row>
    <row r="205" spans="1:15" x14ac:dyDescent="0.3">
      <c r="A205" t="s">
        <v>648</v>
      </c>
      <c r="B205" s="1">
        <v>45678</v>
      </c>
      <c r="C205" t="s">
        <v>649</v>
      </c>
      <c r="D205" t="s">
        <v>36</v>
      </c>
      <c r="E205">
        <v>2</v>
      </c>
      <c r="F205">
        <v>8482</v>
      </c>
      <c r="G205" s="9">
        <v>0.09</v>
      </c>
      <c r="H205" t="s">
        <v>20</v>
      </c>
      <c r="I205" t="s">
        <v>650</v>
      </c>
      <c r="J205" s="14" t="s">
        <v>14</v>
      </c>
      <c r="K205">
        <v>5</v>
      </c>
      <c r="L205" t="s">
        <v>16</v>
      </c>
      <c r="M205">
        <f>Table1[[#This Row],[UnitPrice]]*Table1[[#This Row],[Quantity]]</f>
        <v>16964</v>
      </c>
      <c r="N205">
        <f>Table1[[#This Row],[Total Price]]*Table1[[#This Row],[Discount]]</f>
        <v>1526.76</v>
      </c>
      <c r="O205">
        <f>Table1[[#This Row],[Total Price]]-Table1[[#This Row],[Discount Amount]]</f>
        <v>15437.24</v>
      </c>
    </row>
    <row r="206" spans="1:15" x14ac:dyDescent="0.3">
      <c r="A206" t="s">
        <v>651</v>
      </c>
      <c r="B206" s="1">
        <v>45174</v>
      </c>
      <c r="C206" t="s">
        <v>652</v>
      </c>
      <c r="D206" t="s">
        <v>44</v>
      </c>
      <c r="E206">
        <v>2</v>
      </c>
      <c r="F206">
        <v>31153</v>
      </c>
      <c r="G206" s="9">
        <v>0.47</v>
      </c>
      <c r="H206" t="s">
        <v>45</v>
      </c>
      <c r="I206" t="s">
        <v>653</v>
      </c>
      <c r="J206" s="13" t="s">
        <v>73</v>
      </c>
      <c r="K206">
        <v>9</v>
      </c>
      <c r="L206" t="s">
        <v>33</v>
      </c>
      <c r="M206">
        <f>Table1[[#This Row],[UnitPrice]]*Table1[[#This Row],[Quantity]]</f>
        <v>62306</v>
      </c>
      <c r="N206">
        <f>Table1[[#This Row],[Total Price]]*Table1[[#This Row],[Discount]]</f>
        <v>29283.82</v>
      </c>
      <c r="O206">
        <f>Table1[[#This Row],[Total Price]]-Table1[[#This Row],[Discount Amount]]</f>
        <v>33022.18</v>
      </c>
    </row>
    <row r="207" spans="1:15" x14ac:dyDescent="0.3">
      <c r="A207" t="s">
        <v>654</v>
      </c>
      <c r="B207" s="1">
        <v>44989</v>
      </c>
      <c r="C207" t="s">
        <v>655</v>
      </c>
      <c r="D207" t="s">
        <v>58</v>
      </c>
      <c r="E207">
        <v>3</v>
      </c>
      <c r="F207">
        <v>3160</v>
      </c>
      <c r="G207" s="9">
        <v>0.44</v>
      </c>
      <c r="H207" t="s">
        <v>13</v>
      </c>
      <c r="I207" t="s">
        <v>656</v>
      </c>
      <c r="J207" s="14" t="s">
        <v>37</v>
      </c>
      <c r="K207">
        <v>3</v>
      </c>
      <c r="L207" t="s">
        <v>28</v>
      </c>
      <c r="M207">
        <f>Table1[[#This Row],[UnitPrice]]*Table1[[#This Row],[Quantity]]</f>
        <v>9480</v>
      </c>
      <c r="N207">
        <f>Table1[[#This Row],[Total Price]]*Table1[[#This Row],[Discount]]</f>
        <v>4171.2</v>
      </c>
      <c r="O207">
        <f>Table1[[#This Row],[Total Price]]-Table1[[#This Row],[Discount Amount]]</f>
        <v>5308.8</v>
      </c>
    </row>
    <row r="208" spans="1:15" x14ac:dyDescent="0.3">
      <c r="A208" t="s">
        <v>657</v>
      </c>
      <c r="B208" s="1">
        <v>45398</v>
      </c>
      <c r="C208" t="s">
        <v>658</v>
      </c>
      <c r="D208" t="s">
        <v>44</v>
      </c>
      <c r="E208">
        <v>2</v>
      </c>
      <c r="F208">
        <v>44115</v>
      </c>
      <c r="G208" s="9">
        <v>0.31</v>
      </c>
      <c r="H208" t="s">
        <v>45</v>
      </c>
      <c r="I208" t="s">
        <v>659</v>
      </c>
      <c r="J208" s="13" t="s">
        <v>73</v>
      </c>
      <c r="K208">
        <v>8</v>
      </c>
      <c r="L208" t="s">
        <v>28</v>
      </c>
      <c r="M208">
        <f>Table1[[#This Row],[UnitPrice]]*Table1[[#This Row],[Quantity]]</f>
        <v>88230</v>
      </c>
      <c r="N208">
        <f>Table1[[#This Row],[Total Price]]*Table1[[#This Row],[Discount]]</f>
        <v>27351.3</v>
      </c>
      <c r="O208">
        <f>Table1[[#This Row],[Total Price]]-Table1[[#This Row],[Discount Amount]]</f>
        <v>60878.7</v>
      </c>
    </row>
    <row r="209" spans="1:15" x14ac:dyDescent="0.3">
      <c r="A209" t="s">
        <v>660</v>
      </c>
      <c r="B209" s="1">
        <v>45734</v>
      </c>
      <c r="C209" t="s">
        <v>661</v>
      </c>
      <c r="D209" t="s">
        <v>19</v>
      </c>
      <c r="E209">
        <v>2</v>
      </c>
      <c r="F209">
        <v>49375</v>
      </c>
      <c r="G209" s="9">
        <v>0</v>
      </c>
      <c r="H209" t="s">
        <v>13</v>
      </c>
      <c r="I209" t="s">
        <v>662</v>
      </c>
      <c r="J209" s="14" t="s">
        <v>37</v>
      </c>
      <c r="K209">
        <v>3</v>
      </c>
      <c r="L209" t="s">
        <v>60</v>
      </c>
      <c r="M209">
        <f>Table1[[#This Row],[UnitPrice]]*Table1[[#This Row],[Quantity]]</f>
        <v>98750</v>
      </c>
      <c r="N209">
        <f>Table1[[#This Row],[Total Price]]*Table1[[#This Row],[Discount]]</f>
        <v>0</v>
      </c>
      <c r="O209">
        <f>Table1[[#This Row],[Total Price]]-Table1[[#This Row],[Discount Amount]]</f>
        <v>98750</v>
      </c>
    </row>
    <row r="210" spans="1:15" x14ac:dyDescent="0.3">
      <c r="A210" t="s">
        <v>663</v>
      </c>
      <c r="B210" s="1">
        <v>45573</v>
      </c>
      <c r="C210" t="s">
        <v>664</v>
      </c>
      <c r="D210" t="s">
        <v>58</v>
      </c>
      <c r="E210">
        <v>1</v>
      </c>
      <c r="F210">
        <v>1424</v>
      </c>
      <c r="G210" s="9">
        <v>0.22</v>
      </c>
      <c r="H210" t="s">
        <v>20</v>
      </c>
      <c r="I210" t="s">
        <v>665</v>
      </c>
      <c r="J210" s="13" t="s">
        <v>14</v>
      </c>
      <c r="K210">
        <v>3</v>
      </c>
      <c r="L210" t="s">
        <v>33</v>
      </c>
      <c r="M210">
        <f>Table1[[#This Row],[UnitPrice]]*Table1[[#This Row],[Quantity]]</f>
        <v>1424</v>
      </c>
      <c r="N210">
        <f>Table1[[#This Row],[Total Price]]*Table1[[#This Row],[Discount]]</f>
        <v>313.28000000000003</v>
      </c>
      <c r="O210">
        <f>Table1[[#This Row],[Total Price]]-Table1[[#This Row],[Discount Amount]]</f>
        <v>1110.72</v>
      </c>
    </row>
    <row r="211" spans="1:15" x14ac:dyDescent="0.3">
      <c r="A211" t="s">
        <v>666</v>
      </c>
      <c r="B211" s="1">
        <v>45167</v>
      </c>
      <c r="C211" t="s">
        <v>667</v>
      </c>
      <c r="D211" t="s">
        <v>25</v>
      </c>
      <c r="E211">
        <v>2</v>
      </c>
      <c r="F211">
        <v>5120</v>
      </c>
      <c r="G211" s="9">
        <v>0.27</v>
      </c>
      <c r="H211" t="s">
        <v>50</v>
      </c>
      <c r="I211" t="s">
        <v>668</v>
      </c>
      <c r="J211" s="14" t="s">
        <v>73</v>
      </c>
      <c r="K211">
        <v>9</v>
      </c>
      <c r="L211" t="s">
        <v>60</v>
      </c>
      <c r="M211">
        <f>Table1[[#This Row],[UnitPrice]]*Table1[[#This Row],[Quantity]]</f>
        <v>10240</v>
      </c>
      <c r="N211">
        <f>Table1[[#This Row],[Total Price]]*Table1[[#This Row],[Discount]]</f>
        <v>2764.8</v>
      </c>
      <c r="O211">
        <f>Table1[[#This Row],[Total Price]]-Table1[[#This Row],[Discount Amount]]</f>
        <v>7475.2</v>
      </c>
    </row>
    <row r="212" spans="1:15" x14ac:dyDescent="0.3">
      <c r="A212" t="s">
        <v>669</v>
      </c>
      <c r="B212" s="1">
        <v>45631</v>
      </c>
      <c r="C212" t="s">
        <v>670</v>
      </c>
      <c r="D212" t="s">
        <v>31</v>
      </c>
      <c r="E212">
        <v>2</v>
      </c>
      <c r="F212">
        <v>35885</v>
      </c>
      <c r="G212" s="9">
        <v>0.22</v>
      </c>
      <c r="H212" t="s">
        <v>45</v>
      </c>
      <c r="I212" t="s">
        <v>671</v>
      </c>
      <c r="J212" s="13" t="s">
        <v>37</v>
      </c>
      <c r="K212">
        <v>7</v>
      </c>
      <c r="L212" t="s">
        <v>33</v>
      </c>
      <c r="M212">
        <f>Table1[[#This Row],[UnitPrice]]*Table1[[#This Row],[Quantity]]</f>
        <v>71770</v>
      </c>
      <c r="N212">
        <f>Table1[[#This Row],[Total Price]]*Table1[[#This Row],[Discount]]</f>
        <v>15789.4</v>
      </c>
      <c r="O212">
        <f>Table1[[#This Row],[Total Price]]-Table1[[#This Row],[Discount Amount]]</f>
        <v>55980.6</v>
      </c>
    </row>
    <row r="213" spans="1:15" x14ac:dyDescent="0.3">
      <c r="A213" t="s">
        <v>672</v>
      </c>
      <c r="B213" s="1">
        <v>45660</v>
      </c>
      <c r="C213" t="s">
        <v>673</v>
      </c>
      <c r="D213" t="s">
        <v>36</v>
      </c>
      <c r="E213">
        <v>1</v>
      </c>
      <c r="F213">
        <v>9724</v>
      </c>
      <c r="G213" s="9">
        <v>0.46</v>
      </c>
      <c r="H213" t="s">
        <v>45</v>
      </c>
      <c r="I213" t="s">
        <v>674</v>
      </c>
      <c r="J213" s="14" t="s">
        <v>73</v>
      </c>
      <c r="K213">
        <v>7</v>
      </c>
      <c r="L213" t="s">
        <v>28</v>
      </c>
      <c r="M213">
        <f>Table1[[#This Row],[UnitPrice]]*Table1[[#This Row],[Quantity]]</f>
        <v>9724</v>
      </c>
      <c r="N213">
        <f>Table1[[#This Row],[Total Price]]*Table1[[#This Row],[Discount]]</f>
        <v>4473.04</v>
      </c>
      <c r="O213">
        <f>Table1[[#This Row],[Total Price]]-Table1[[#This Row],[Discount Amount]]</f>
        <v>5250.96</v>
      </c>
    </row>
    <row r="214" spans="1:15" x14ac:dyDescent="0.3">
      <c r="A214" t="s">
        <v>675</v>
      </c>
      <c r="B214" s="1">
        <v>45097</v>
      </c>
      <c r="C214" t="s">
        <v>676</v>
      </c>
      <c r="D214" t="s">
        <v>12</v>
      </c>
      <c r="E214">
        <v>2</v>
      </c>
      <c r="F214">
        <v>1677</v>
      </c>
      <c r="G214" s="9">
        <v>0.02</v>
      </c>
      <c r="H214" t="s">
        <v>26</v>
      </c>
      <c r="I214" t="s">
        <v>677</v>
      </c>
      <c r="J214" s="13" t="s">
        <v>14</v>
      </c>
      <c r="K214">
        <v>6</v>
      </c>
      <c r="L214" t="s">
        <v>28</v>
      </c>
      <c r="M214">
        <f>Table1[[#This Row],[UnitPrice]]*Table1[[#This Row],[Quantity]]</f>
        <v>3354</v>
      </c>
      <c r="N214">
        <f>Table1[[#This Row],[Total Price]]*Table1[[#This Row],[Discount]]</f>
        <v>67.08</v>
      </c>
      <c r="O214">
        <f>Table1[[#This Row],[Total Price]]-Table1[[#This Row],[Discount Amount]]</f>
        <v>3286.92</v>
      </c>
    </row>
    <row r="215" spans="1:15" x14ac:dyDescent="0.3">
      <c r="A215" t="s">
        <v>678</v>
      </c>
      <c r="B215" s="1">
        <v>45036</v>
      </c>
      <c r="C215" t="s">
        <v>679</v>
      </c>
      <c r="D215" t="s">
        <v>44</v>
      </c>
      <c r="E215">
        <v>2</v>
      </c>
      <c r="F215">
        <v>73227</v>
      </c>
      <c r="G215" s="9">
        <v>0.33</v>
      </c>
      <c r="H215" t="s">
        <v>50</v>
      </c>
      <c r="I215" t="s">
        <v>680</v>
      </c>
      <c r="J215" s="14" t="s">
        <v>73</v>
      </c>
      <c r="K215">
        <v>6</v>
      </c>
      <c r="L215" t="s">
        <v>28</v>
      </c>
      <c r="M215">
        <f>Table1[[#This Row],[UnitPrice]]*Table1[[#This Row],[Quantity]]</f>
        <v>146454</v>
      </c>
      <c r="N215">
        <f>Table1[[#This Row],[Total Price]]*Table1[[#This Row],[Discount]]</f>
        <v>48329.82</v>
      </c>
      <c r="O215">
        <f>Table1[[#This Row],[Total Price]]-Table1[[#This Row],[Discount Amount]]</f>
        <v>98124.18</v>
      </c>
    </row>
    <row r="216" spans="1:15" x14ac:dyDescent="0.3">
      <c r="A216" t="s">
        <v>681</v>
      </c>
      <c r="B216" s="1">
        <v>45525</v>
      </c>
      <c r="C216" t="s">
        <v>682</v>
      </c>
      <c r="D216" t="s">
        <v>58</v>
      </c>
      <c r="E216">
        <v>3</v>
      </c>
      <c r="F216">
        <v>4605</v>
      </c>
      <c r="G216" s="9">
        <v>0.16</v>
      </c>
      <c r="H216" t="s">
        <v>20</v>
      </c>
      <c r="I216" t="s">
        <v>683</v>
      </c>
      <c r="J216" s="13" t="s">
        <v>37</v>
      </c>
      <c r="K216">
        <v>5</v>
      </c>
      <c r="L216" t="s">
        <v>33</v>
      </c>
      <c r="M216">
        <f>Table1[[#This Row],[UnitPrice]]*Table1[[#This Row],[Quantity]]</f>
        <v>13815</v>
      </c>
      <c r="N216">
        <f>Table1[[#This Row],[Total Price]]*Table1[[#This Row],[Discount]]</f>
        <v>2210.4</v>
      </c>
      <c r="O216">
        <f>Table1[[#This Row],[Total Price]]-Table1[[#This Row],[Discount Amount]]</f>
        <v>11604.6</v>
      </c>
    </row>
    <row r="217" spans="1:15" x14ac:dyDescent="0.3">
      <c r="A217" t="s">
        <v>684</v>
      </c>
      <c r="B217" s="1">
        <v>45148</v>
      </c>
      <c r="C217" t="s">
        <v>685</v>
      </c>
      <c r="D217" t="s">
        <v>36</v>
      </c>
      <c r="E217">
        <v>2</v>
      </c>
      <c r="F217">
        <v>8386</v>
      </c>
      <c r="G217" s="9">
        <v>0.28000000000000003</v>
      </c>
      <c r="H217" t="s">
        <v>50</v>
      </c>
      <c r="I217" t="s">
        <v>686</v>
      </c>
      <c r="J217" s="14" t="s">
        <v>14</v>
      </c>
      <c r="K217">
        <v>5</v>
      </c>
      <c r="L217" t="s">
        <v>33</v>
      </c>
      <c r="M217">
        <f>Table1[[#This Row],[UnitPrice]]*Table1[[#This Row],[Quantity]]</f>
        <v>16772</v>
      </c>
      <c r="N217">
        <f>Table1[[#This Row],[Total Price]]*Table1[[#This Row],[Discount]]</f>
        <v>4696.1600000000008</v>
      </c>
      <c r="O217">
        <f>Table1[[#This Row],[Total Price]]-Table1[[#This Row],[Discount Amount]]</f>
        <v>12075.84</v>
      </c>
    </row>
    <row r="218" spans="1:15" x14ac:dyDescent="0.3">
      <c r="A218" t="s">
        <v>687</v>
      </c>
      <c r="B218" s="1">
        <v>45762</v>
      </c>
      <c r="C218" t="s">
        <v>688</v>
      </c>
      <c r="D218" t="s">
        <v>12</v>
      </c>
      <c r="E218">
        <v>2</v>
      </c>
      <c r="F218">
        <v>9789</v>
      </c>
      <c r="G218" s="9">
        <v>0.33</v>
      </c>
      <c r="H218" t="s">
        <v>20</v>
      </c>
      <c r="I218" t="s">
        <v>689</v>
      </c>
      <c r="J218" s="13" t="s">
        <v>37</v>
      </c>
      <c r="K218">
        <v>8</v>
      </c>
      <c r="L218" t="s">
        <v>60</v>
      </c>
      <c r="M218">
        <f>Table1[[#This Row],[UnitPrice]]*Table1[[#This Row],[Quantity]]</f>
        <v>19578</v>
      </c>
      <c r="N218">
        <f>Table1[[#This Row],[Total Price]]*Table1[[#This Row],[Discount]]</f>
        <v>6460.7400000000007</v>
      </c>
      <c r="O218">
        <f>Table1[[#This Row],[Total Price]]-Table1[[#This Row],[Discount Amount]]</f>
        <v>13117.259999999998</v>
      </c>
    </row>
    <row r="219" spans="1:15" x14ac:dyDescent="0.3">
      <c r="A219" t="s">
        <v>690</v>
      </c>
      <c r="B219" s="1">
        <v>45432</v>
      </c>
      <c r="C219" t="s">
        <v>691</v>
      </c>
      <c r="D219" t="s">
        <v>58</v>
      </c>
      <c r="E219">
        <v>3</v>
      </c>
      <c r="F219">
        <v>5192</v>
      </c>
      <c r="G219" s="9">
        <v>0.22</v>
      </c>
      <c r="H219" t="s">
        <v>50</v>
      </c>
      <c r="I219" t="s">
        <v>692</v>
      </c>
      <c r="J219" s="14" t="s">
        <v>14</v>
      </c>
      <c r="K219">
        <v>9</v>
      </c>
      <c r="L219" t="s">
        <v>60</v>
      </c>
      <c r="M219">
        <f>Table1[[#This Row],[UnitPrice]]*Table1[[#This Row],[Quantity]]</f>
        <v>15576</v>
      </c>
      <c r="N219">
        <f>Table1[[#This Row],[Total Price]]*Table1[[#This Row],[Discount]]</f>
        <v>3426.72</v>
      </c>
      <c r="O219">
        <f>Table1[[#This Row],[Total Price]]-Table1[[#This Row],[Discount Amount]]</f>
        <v>12149.28</v>
      </c>
    </row>
    <row r="220" spans="1:15" x14ac:dyDescent="0.3">
      <c r="A220" t="s">
        <v>693</v>
      </c>
      <c r="B220" s="1">
        <v>45044</v>
      </c>
      <c r="C220" t="s">
        <v>694</v>
      </c>
      <c r="D220" t="s">
        <v>25</v>
      </c>
      <c r="E220">
        <v>1</v>
      </c>
      <c r="F220">
        <v>3753</v>
      </c>
      <c r="G220" s="9">
        <v>7.0000000000000007E-2</v>
      </c>
      <c r="H220" t="s">
        <v>45</v>
      </c>
      <c r="I220" t="s">
        <v>695</v>
      </c>
      <c r="J220" s="13" t="s">
        <v>14</v>
      </c>
      <c r="K220">
        <v>6</v>
      </c>
      <c r="L220" t="s">
        <v>16</v>
      </c>
      <c r="M220">
        <f>Table1[[#This Row],[UnitPrice]]*Table1[[#This Row],[Quantity]]</f>
        <v>3753</v>
      </c>
      <c r="N220">
        <f>Table1[[#This Row],[Total Price]]*Table1[[#This Row],[Discount]]</f>
        <v>262.71000000000004</v>
      </c>
      <c r="O220">
        <f>Table1[[#This Row],[Total Price]]-Table1[[#This Row],[Discount Amount]]</f>
        <v>3490.29</v>
      </c>
    </row>
    <row r="221" spans="1:15" x14ac:dyDescent="0.3">
      <c r="A221" t="s">
        <v>696</v>
      </c>
      <c r="B221" s="1">
        <v>45779</v>
      </c>
      <c r="C221" t="s">
        <v>697</v>
      </c>
      <c r="D221" t="s">
        <v>44</v>
      </c>
      <c r="E221">
        <v>3</v>
      </c>
      <c r="F221">
        <v>72235</v>
      </c>
      <c r="G221" s="9">
        <v>0.26</v>
      </c>
      <c r="H221" t="s">
        <v>50</v>
      </c>
      <c r="I221" t="s">
        <v>698</v>
      </c>
      <c r="J221" s="14" t="s">
        <v>37</v>
      </c>
      <c r="K221">
        <v>6</v>
      </c>
      <c r="L221" t="s">
        <v>28</v>
      </c>
      <c r="M221">
        <f>Table1[[#This Row],[UnitPrice]]*Table1[[#This Row],[Quantity]]</f>
        <v>216705</v>
      </c>
      <c r="N221">
        <f>Table1[[#This Row],[Total Price]]*Table1[[#This Row],[Discount]]</f>
        <v>56343.3</v>
      </c>
      <c r="O221">
        <f>Table1[[#This Row],[Total Price]]-Table1[[#This Row],[Discount Amount]]</f>
        <v>160361.70000000001</v>
      </c>
    </row>
    <row r="222" spans="1:15" x14ac:dyDescent="0.3">
      <c r="A222" t="s">
        <v>699</v>
      </c>
      <c r="B222" s="1">
        <v>45125</v>
      </c>
      <c r="C222" t="s">
        <v>700</v>
      </c>
      <c r="D222" t="s">
        <v>44</v>
      </c>
      <c r="E222">
        <v>2</v>
      </c>
      <c r="F222">
        <v>76567</v>
      </c>
      <c r="G222" s="9">
        <v>0.47</v>
      </c>
      <c r="H222" t="s">
        <v>26</v>
      </c>
      <c r="I222" t="s">
        <v>701</v>
      </c>
      <c r="J222" s="13" t="s">
        <v>73</v>
      </c>
      <c r="K222">
        <v>6</v>
      </c>
      <c r="L222" t="s">
        <v>22</v>
      </c>
      <c r="M222">
        <f>Table1[[#This Row],[UnitPrice]]*Table1[[#This Row],[Quantity]]</f>
        <v>153134</v>
      </c>
      <c r="N222">
        <f>Table1[[#This Row],[Total Price]]*Table1[[#This Row],[Discount]]</f>
        <v>71972.98</v>
      </c>
      <c r="O222">
        <f>Table1[[#This Row],[Total Price]]-Table1[[#This Row],[Discount Amount]]</f>
        <v>81161.02</v>
      </c>
    </row>
    <row r="223" spans="1:15" x14ac:dyDescent="0.3">
      <c r="A223" t="s">
        <v>702</v>
      </c>
      <c r="B223" s="1">
        <v>45345</v>
      </c>
      <c r="C223" t="s">
        <v>703</v>
      </c>
      <c r="D223" t="s">
        <v>25</v>
      </c>
      <c r="E223">
        <v>3</v>
      </c>
      <c r="F223">
        <v>4695</v>
      </c>
      <c r="G223" s="9">
        <v>0.27</v>
      </c>
      <c r="H223" t="s">
        <v>13</v>
      </c>
      <c r="I223" t="s">
        <v>704</v>
      </c>
      <c r="J223" s="14" t="s">
        <v>73</v>
      </c>
      <c r="K223">
        <v>6</v>
      </c>
      <c r="L223" t="s">
        <v>60</v>
      </c>
      <c r="M223">
        <f>Table1[[#This Row],[UnitPrice]]*Table1[[#This Row],[Quantity]]</f>
        <v>14085</v>
      </c>
      <c r="N223">
        <f>Table1[[#This Row],[Total Price]]*Table1[[#This Row],[Discount]]</f>
        <v>3802.9500000000003</v>
      </c>
      <c r="O223">
        <f>Table1[[#This Row],[Total Price]]-Table1[[#This Row],[Discount Amount]]</f>
        <v>10282.049999999999</v>
      </c>
    </row>
    <row r="224" spans="1:15" x14ac:dyDescent="0.3">
      <c r="A224" t="s">
        <v>705</v>
      </c>
      <c r="B224" s="1">
        <v>45050</v>
      </c>
      <c r="C224" t="s">
        <v>706</v>
      </c>
      <c r="D224" t="s">
        <v>31</v>
      </c>
      <c r="E224">
        <v>1</v>
      </c>
      <c r="F224">
        <v>24914</v>
      </c>
      <c r="G224" s="9">
        <v>0.06</v>
      </c>
      <c r="H224" t="s">
        <v>20</v>
      </c>
      <c r="I224" t="s">
        <v>707</v>
      </c>
      <c r="J224" s="13" t="s">
        <v>14</v>
      </c>
      <c r="K224">
        <v>8</v>
      </c>
      <c r="L224" t="s">
        <v>16</v>
      </c>
      <c r="M224">
        <f>Table1[[#This Row],[UnitPrice]]*Table1[[#This Row],[Quantity]]</f>
        <v>24914</v>
      </c>
      <c r="N224">
        <f>Table1[[#This Row],[Total Price]]*Table1[[#This Row],[Discount]]</f>
        <v>1494.84</v>
      </c>
      <c r="O224">
        <f>Table1[[#This Row],[Total Price]]-Table1[[#This Row],[Discount Amount]]</f>
        <v>23419.16</v>
      </c>
    </row>
    <row r="225" spans="1:15" x14ac:dyDescent="0.3">
      <c r="A225" t="s">
        <v>708</v>
      </c>
      <c r="B225" s="1">
        <v>45546</v>
      </c>
      <c r="C225" t="s">
        <v>709</v>
      </c>
      <c r="D225" t="s">
        <v>19</v>
      </c>
      <c r="E225">
        <v>2</v>
      </c>
      <c r="F225">
        <v>19037</v>
      </c>
      <c r="G225" s="9">
        <v>0.41</v>
      </c>
      <c r="H225" t="s">
        <v>26</v>
      </c>
      <c r="I225" t="s">
        <v>710</v>
      </c>
      <c r="J225" s="14" t="s">
        <v>73</v>
      </c>
      <c r="K225">
        <v>9</v>
      </c>
      <c r="L225" t="s">
        <v>16</v>
      </c>
      <c r="M225">
        <f>Table1[[#This Row],[UnitPrice]]*Table1[[#This Row],[Quantity]]</f>
        <v>38074</v>
      </c>
      <c r="N225">
        <f>Table1[[#This Row],[Total Price]]*Table1[[#This Row],[Discount]]</f>
        <v>15610.339999999998</v>
      </c>
      <c r="O225">
        <f>Table1[[#This Row],[Total Price]]-Table1[[#This Row],[Discount Amount]]</f>
        <v>22463.660000000003</v>
      </c>
    </row>
    <row r="226" spans="1:15" x14ac:dyDescent="0.3">
      <c r="A226" t="s">
        <v>711</v>
      </c>
      <c r="B226" s="1">
        <v>45192</v>
      </c>
      <c r="C226" t="s">
        <v>712</v>
      </c>
      <c r="D226" t="s">
        <v>36</v>
      </c>
      <c r="E226">
        <v>1</v>
      </c>
      <c r="F226">
        <v>7817</v>
      </c>
      <c r="G226" s="9">
        <v>0.11</v>
      </c>
      <c r="H226" t="s">
        <v>50</v>
      </c>
      <c r="I226" t="s">
        <v>713</v>
      </c>
      <c r="J226" s="13" t="s">
        <v>14</v>
      </c>
      <c r="K226">
        <v>9</v>
      </c>
      <c r="L226" t="s">
        <v>22</v>
      </c>
      <c r="M226">
        <f>Table1[[#This Row],[UnitPrice]]*Table1[[#This Row],[Quantity]]</f>
        <v>7817</v>
      </c>
      <c r="N226">
        <f>Table1[[#This Row],[Total Price]]*Table1[[#This Row],[Discount]]</f>
        <v>859.87</v>
      </c>
      <c r="O226">
        <f>Table1[[#This Row],[Total Price]]-Table1[[#This Row],[Discount Amount]]</f>
        <v>6957.13</v>
      </c>
    </row>
    <row r="227" spans="1:15" x14ac:dyDescent="0.3">
      <c r="A227" t="s">
        <v>714</v>
      </c>
      <c r="B227" s="1">
        <v>45364</v>
      </c>
      <c r="C227" t="s">
        <v>715</v>
      </c>
      <c r="D227" t="s">
        <v>19</v>
      </c>
      <c r="E227">
        <v>3</v>
      </c>
      <c r="F227">
        <v>31607</v>
      </c>
      <c r="G227" s="9">
        <v>0.19</v>
      </c>
      <c r="H227" t="s">
        <v>13</v>
      </c>
      <c r="I227" t="s">
        <v>716</v>
      </c>
      <c r="J227" s="14" t="s">
        <v>37</v>
      </c>
      <c r="K227">
        <v>8</v>
      </c>
      <c r="L227" t="s">
        <v>60</v>
      </c>
      <c r="M227">
        <f>Table1[[#This Row],[UnitPrice]]*Table1[[#This Row],[Quantity]]</f>
        <v>94821</v>
      </c>
      <c r="N227">
        <f>Table1[[#This Row],[Total Price]]*Table1[[#This Row],[Discount]]</f>
        <v>18015.990000000002</v>
      </c>
      <c r="O227">
        <f>Table1[[#This Row],[Total Price]]-Table1[[#This Row],[Discount Amount]]</f>
        <v>76805.009999999995</v>
      </c>
    </row>
    <row r="228" spans="1:15" x14ac:dyDescent="0.3">
      <c r="A228" t="s">
        <v>717</v>
      </c>
      <c r="B228" s="1">
        <v>45835</v>
      </c>
      <c r="C228" t="s">
        <v>718</v>
      </c>
      <c r="D228" t="s">
        <v>58</v>
      </c>
      <c r="E228">
        <v>1</v>
      </c>
      <c r="F228">
        <v>2847</v>
      </c>
      <c r="G228" s="9">
        <v>0.21</v>
      </c>
      <c r="H228" t="s">
        <v>45</v>
      </c>
      <c r="I228" t="s">
        <v>719</v>
      </c>
      <c r="J228" s="13" t="s">
        <v>37</v>
      </c>
      <c r="K228">
        <v>8</v>
      </c>
      <c r="L228" t="s">
        <v>16</v>
      </c>
      <c r="M228">
        <f>Table1[[#This Row],[UnitPrice]]*Table1[[#This Row],[Quantity]]</f>
        <v>2847</v>
      </c>
      <c r="N228">
        <f>Table1[[#This Row],[Total Price]]*Table1[[#This Row],[Discount]]</f>
        <v>597.87</v>
      </c>
      <c r="O228">
        <f>Table1[[#This Row],[Total Price]]-Table1[[#This Row],[Discount Amount]]</f>
        <v>2249.13</v>
      </c>
    </row>
    <row r="229" spans="1:15" x14ac:dyDescent="0.3">
      <c r="A229" t="s">
        <v>720</v>
      </c>
      <c r="B229" s="1">
        <v>45232</v>
      </c>
      <c r="C229" t="s">
        <v>721</v>
      </c>
      <c r="D229" t="s">
        <v>12</v>
      </c>
      <c r="E229">
        <v>2</v>
      </c>
      <c r="F229">
        <v>1056</v>
      </c>
      <c r="G229" s="9">
        <v>0.17</v>
      </c>
      <c r="H229" t="s">
        <v>20</v>
      </c>
      <c r="I229" t="s">
        <v>722</v>
      </c>
      <c r="J229" s="14" t="s">
        <v>14</v>
      </c>
      <c r="K229">
        <v>4</v>
      </c>
      <c r="L229" t="s">
        <v>33</v>
      </c>
      <c r="M229">
        <f>Table1[[#This Row],[UnitPrice]]*Table1[[#This Row],[Quantity]]</f>
        <v>2112</v>
      </c>
      <c r="N229">
        <f>Table1[[#This Row],[Total Price]]*Table1[[#This Row],[Discount]]</f>
        <v>359.04</v>
      </c>
      <c r="O229">
        <f>Table1[[#This Row],[Total Price]]-Table1[[#This Row],[Discount Amount]]</f>
        <v>1752.96</v>
      </c>
    </row>
    <row r="230" spans="1:15" x14ac:dyDescent="0.3">
      <c r="A230" t="s">
        <v>723</v>
      </c>
      <c r="B230" s="1">
        <v>45063</v>
      </c>
      <c r="C230" t="s">
        <v>724</v>
      </c>
      <c r="D230" t="s">
        <v>31</v>
      </c>
      <c r="E230">
        <v>1</v>
      </c>
      <c r="F230">
        <v>28773</v>
      </c>
      <c r="G230" s="9">
        <v>0.2</v>
      </c>
      <c r="H230" t="s">
        <v>26</v>
      </c>
      <c r="I230" t="s">
        <v>725</v>
      </c>
      <c r="J230" s="13" t="s">
        <v>14</v>
      </c>
      <c r="K230">
        <v>8</v>
      </c>
      <c r="L230" t="s">
        <v>16</v>
      </c>
      <c r="M230">
        <f>Table1[[#This Row],[UnitPrice]]*Table1[[#This Row],[Quantity]]</f>
        <v>28773</v>
      </c>
      <c r="N230">
        <f>Table1[[#This Row],[Total Price]]*Table1[[#This Row],[Discount]]</f>
        <v>5754.6</v>
      </c>
      <c r="O230">
        <f>Table1[[#This Row],[Total Price]]-Table1[[#This Row],[Discount Amount]]</f>
        <v>23018.400000000001</v>
      </c>
    </row>
    <row r="231" spans="1:15" x14ac:dyDescent="0.3">
      <c r="A231" t="s">
        <v>726</v>
      </c>
      <c r="B231" s="1">
        <v>45744</v>
      </c>
      <c r="C231" t="s">
        <v>727</v>
      </c>
      <c r="D231" t="s">
        <v>25</v>
      </c>
      <c r="E231">
        <v>3</v>
      </c>
      <c r="F231">
        <v>14388</v>
      </c>
      <c r="G231" s="9">
        <v>0.4</v>
      </c>
      <c r="H231" t="s">
        <v>26</v>
      </c>
      <c r="I231" t="s">
        <v>728</v>
      </c>
      <c r="J231" s="14" t="s">
        <v>37</v>
      </c>
      <c r="K231">
        <v>3</v>
      </c>
      <c r="L231" t="s">
        <v>33</v>
      </c>
      <c r="M231">
        <f>Table1[[#This Row],[UnitPrice]]*Table1[[#This Row],[Quantity]]</f>
        <v>43164</v>
      </c>
      <c r="N231">
        <f>Table1[[#This Row],[Total Price]]*Table1[[#This Row],[Discount]]</f>
        <v>17265.600000000002</v>
      </c>
      <c r="O231">
        <f>Table1[[#This Row],[Total Price]]-Table1[[#This Row],[Discount Amount]]</f>
        <v>25898.399999999998</v>
      </c>
    </row>
    <row r="232" spans="1:15" x14ac:dyDescent="0.3">
      <c r="A232" t="s">
        <v>729</v>
      </c>
      <c r="B232" s="1">
        <v>45276</v>
      </c>
      <c r="C232" t="s">
        <v>730</v>
      </c>
      <c r="D232" t="s">
        <v>58</v>
      </c>
      <c r="E232">
        <v>1</v>
      </c>
      <c r="F232">
        <v>6980</v>
      </c>
      <c r="G232" s="9">
        <v>0.11</v>
      </c>
      <c r="H232" t="s">
        <v>45</v>
      </c>
      <c r="I232" t="s">
        <v>731</v>
      </c>
      <c r="J232" s="13" t="s">
        <v>37</v>
      </c>
      <c r="K232">
        <v>6</v>
      </c>
      <c r="L232" t="s">
        <v>28</v>
      </c>
      <c r="M232">
        <f>Table1[[#This Row],[UnitPrice]]*Table1[[#This Row],[Quantity]]</f>
        <v>6980</v>
      </c>
      <c r="N232">
        <f>Table1[[#This Row],[Total Price]]*Table1[[#This Row],[Discount]]</f>
        <v>767.8</v>
      </c>
      <c r="O232">
        <f>Table1[[#This Row],[Total Price]]-Table1[[#This Row],[Discount Amount]]</f>
        <v>6212.2</v>
      </c>
    </row>
    <row r="233" spans="1:15" x14ac:dyDescent="0.3">
      <c r="A233" t="s">
        <v>732</v>
      </c>
      <c r="B233" s="1">
        <v>45235</v>
      </c>
      <c r="C233" t="s">
        <v>733</v>
      </c>
      <c r="D233" t="s">
        <v>19</v>
      </c>
      <c r="E233">
        <v>1</v>
      </c>
      <c r="F233">
        <v>15238</v>
      </c>
      <c r="G233" s="9">
        <v>0.24</v>
      </c>
      <c r="H233" t="s">
        <v>45</v>
      </c>
      <c r="I233" t="s">
        <v>734</v>
      </c>
      <c r="J233" s="14" t="s">
        <v>73</v>
      </c>
      <c r="K233">
        <v>9</v>
      </c>
      <c r="L233" t="s">
        <v>16</v>
      </c>
      <c r="M233">
        <f>Table1[[#This Row],[UnitPrice]]*Table1[[#This Row],[Quantity]]</f>
        <v>15238</v>
      </c>
      <c r="N233">
        <f>Table1[[#This Row],[Total Price]]*Table1[[#This Row],[Discount]]</f>
        <v>3657.12</v>
      </c>
      <c r="O233">
        <f>Table1[[#This Row],[Total Price]]-Table1[[#This Row],[Discount Amount]]</f>
        <v>11580.880000000001</v>
      </c>
    </row>
    <row r="234" spans="1:15" x14ac:dyDescent="0.3">
      <c r="A234" t="s">
        <v>735</v>
      </c>
      <c r="B234" s="1">
        <v>45065</v>
      </c>
      <c r="C234" t="s">
        <v>736</v>
      </c>
      <c r="D234" t="s">
        <v>36</v>
      </c>
      <c r="E234">
        <v>1</v>
      </c>
      <c r="F234">
        <v>9096</v>
      </c>
      <c r="G234" s="9">
        <v>0.01</v>
      </c>
      <c r="H234" t="s">
        <v>13</v>
      </c>
      <c r="I234" t="s">
        <v>737</v>
      </c>
      <c r="J234" s="13" t="s">
        <v>37</v>
      </c>
      <c r="K234">
        <v>8</v>
      </c>
      <c r="L234" t="s">
        <v>60</v>
      </c>
      <c r="M234">
        <f>Table1[[#This Row],[UnitPrice]]*Table1[[#This Row],[Quantity]]</f>
        <v>9096</v>
      </c>
      <c r="N234">
        <f>Table1[[#This Row],[Total Price]]*Table1[[#This Row],[Discount]]</f>
        <v>90.960000000000008</v>
      </c>
      <c r="O234">
        <f>Table1[[#This Row],[Total Price]]-Table1[[#This Row],[Discount Amount]]</f>
        <v>9005.0400000000009</v>
      </c>
    </row>
    <row r="235" spans="1:15" x14ac:dyDescent="0.3">
      <c r="A235" t="s">
        <v>738</v>
      </c>
      <c r="B235" s="1">
        <v>45528</v>
      </c>
      <c r="C235" t="s">
        <v>739</v>
      </c>
      <c r="D235" t="s">
        <v>19</v>
      </c>
      <c r="E235">
        <v>3</v>
      </c>
      <c r="F235">
        <v>26319</v>
      </c>
      <c r="G235" s="9">
        <v>0.25</v>
      </c>
      <c r="H235" t="s">
        <v>50</v>
      </c>
      <c r="I235" t="s">
        <v>740</v>
      </c>
      <c r="J235" s="14" t="s">
        <v>37</v>
      </c>
      <c r="K235">
        <v>3</v>
      </c>
      <c r="L235" t="s">
        <v>16</v>
      </c>
      <c r="M235">
        <f>Table1[[#This Row],[UnitPrice]]*Table1[[#This Row],[Quantity]]</f>
        <v>78957</v>
      </c>
      <c r="N235">
        <f>Table1[[#This Row],[Total Price]]*Table1[[#This Row],[Discount]]</f>
        <v>19739.25</v>
      </c>
      <c r="O235">
        <f>Table1[[#This Row],[Total Price]]-Table1[[#This Row],[Discount Amount]]</f>
        <v>59217.75</v>
      </c>
    </row>
    <row r="236" spans="1:15" x14ac:dyDescent="0.3">
      <c r="A236" t="s">
        <v>741</v>
      </c>
      <c r="B236" s="1">
        <v>45622</v>
      </c>
      <c r="C236" t="s">
        <v>742</v>
      </c>
      <c r="D236" t="s">
        <v>36</v>
      </c>
      <c r="E236">
        <v>2</v>
      </c>
      <c r="F236">
        <v>8708</v>
      </c>
      <c r="G236" s="9">
        <v>0.06</v>
      </c>
      <c r="H236" t="s">
        <v>13</v>
      </c>
      <c r="I236" t="s">
        <v>743</v>
      </c>
      <c r="J236" s="13" t="s">
        <v>73</v>
      </c>
      <c r="K236">
        <v>7</v>
      </c>
      <c r="L236" t="s">
        <v>60</v>
      </c>
      <c r="M236">
        <f>Table1[[#This Row],[UnitPrice]]*Table1[[#This Row],[Quantity]]</f>
        <v>17416</v>
      </c>
      <c r="N236">
        <f>Table1[[#This Row],[Total Price]]*Table1[[#This Row],[Discount]]</f>
        <v>1044.96</v>
      </c>
      <c r="O236">
        <f>Table1[[#This Row],[Total Price]]-Table1[[#This Row],[Discount Amount]]</f>
        <v>16371.04</v>
      </c>
    </row>
    <row r="237" spans="1:15" x14ac:dyDescent="0.3">
      <c r="A237" t="s">
        <v>744</v>
      </c>
      <c r="B237" s="1">
        <v>44977</v>
      </c>
      <c r="C237" t="s">
        <v>745</v>
      </c>
      <c r="D237" t="s">
        <v>58</v>
      </c>
      <c r="E237">
        <v>2</v>
      </c>
      <c r="F237">
        <v>9044</v>
      </c>
      <c r="G237" s="9">
        <v>0.14000000000000001</v>
      </c>
      <c r="H237" t="s">
        <v>50</v>
      </c>
      <c r="I237" t="s">
        <v>746</v>
      </c>
      <c r="J237" s="14" t="s">
        <v>73</v>
      </c>
      <c r="K237">
        <v>2</v>
      </c>
      <c r="L237" t="s">
        <v>60</v>
      </c>
      <c r="M237">
        <f>Table1[[#This Row],[UnitPrice]]*Table1[[#This Row],[Quantity]]</f>
        <v>18088</v>
      </c>
      <c r="N237">
        <f>Table1[[#This Row],[Total Price]]*Table1[[#This Row],[Discount]]</f>
        <v>2532.3200000000002</v>
      </c>
      <c r="O237">
        <f>Table1[[#This Row],[Total Price]]-Table1[[#This Row],[Discount Amount]]</f>
        <v>15555.68</v>
      </c>
    </row>
    <row r="238" spans="1:15" x14ac:dyDescent="0.3">
      <c r="A238" t="s">
        <v>747</v>
      </c>
      <c r="B238" s="1">
        <v>44927</v>
      </c>
      <c r="C238" t="s">
        <v>748</v>
      </c>
      <c r="D238" t="s">
        <v>12</v>
      </c>
      <c r="E238">
        <v>1</v>
      </c>
      <c r="F238">
        <v>5663</v>
      </c>
      <c r="G238" s="9">
        <v>0.16</v>
      </c>
      <c r="H238" t="s">
        <v>13</v>
      </c>
      <c r="I238" t="s">
        <v>749</v>
      </c>
      <c r="J238" s="13" t="s">
        <v>73</v>
      </c>
      <c r="K238">
        <v>3</v>
      </c>
      <c r="L238" t="s">
        <v>28</v>
      </c>
      <c r="M238">
        <f>Table1[[#This Row],[UnitPrice]]*Table1[[#This Row],[Quantity]]</f>
        <v>5663</v>
      </c>
      <c r="N238">
        <f>Table1[[#This Row],[Total Price]]*Table1[[#This Row],[Discount]]</f>
        <v>906.08</v>
      </c>
      <c r="O238">
        <f>Table1[[#This Row],[Total Price]]-Table1[[#This Row],[Discount Amount]]</f>
        <v>4756.92</v>
      </c>
    </row>
    <row r="239" spans="1:15" x14ac:dyDescent="0.3">
      <c r="A239" t="s">
        <v>750</v>
      </c>
      <c r="B239" s="1">
        <v>45365</v>
      </c>
      <c r="C239" t="s">
        <v>751</v>
      </c>
      <c r="D239" t="s">
        <v>12</v>
      </c>
      <c r="E239">
        <v>2</v>
      </c>
      <c r="F239">
        <v>3665</v>
      </c>
      <c r="G239" s="9">
        <v>0.04</v>
      </c>
      <c r="H239" t="s">
        <v>26</v>
      </c>
      <c r="I239" t="s">
        <v>752</v>
      </c>
      <c r="J239" s="14" t="s">
        <v>14</v>
      </c>
      <c r="K239">
        <v>5</v>
      </c>
      <c r="L239" t="s">
        <v>33</v>
      </c>
      <c r="M239">
        <f>Table1[[#This Row],[UnitPrice]]*Table1[[#This Row],[Quantity]]</f>
        <v>7330</v>
      </c>
      <c r="N239">
        <f>Table1[[#This Row],[Total Price]]*Table1[[#This Row],[Discount]]</f>
        <v>293.2</v>
      </c>
      <c r="O239">
        <f>Table1[[#This Row],[Total Price]]-Table1[[#This Row],[Discount Amount]]</f>
        <v>7036.8</v>
      </c>
    </row>
    <row r="240" spans="1:15" x14ac:dyDescent="0.3">
      <c r="A240" t="s">
        <v>753</v>
      </c>
      <c r="B240" s="1">
        <v>45639</v>
      </c>
      <c r="C240" t="s">
        <v>754</v>
      </c>
      <c r="D240" t="s">
        <v>58</v>
      </c>
      <c r="E240">
        <v>3</v>
      </c>
      <c r="F240">
        <v>7486</v>
      </c>
      <c r="G240" s="9">
        <v>0.18</v>
      </c>
      <c r="H240" t="s">
        <v>26</v>
      </c>
      <c r="I240" t="s">
        <v>755</v>
      </c>
      <c r="J240" s="13" t="s">
        <v>73</v>
      </c>
      <c r="K240">
        <v>6</v>
      </c>
      <c r="L240" t="s">
        <v>60</v>
      </c>
      <c r="M240">
        <f>Table1[[#This Row],[UnitPrice]]*Table1[[#This Row],[Quantity]]</f>
        <v>22458</v>
      </c>
      <c r="N240">
        <f>Table1[[#This Row],[Total Price]]*Table1[[#This Row],[Discount]]</f>
        <v>4042.44</v>
      </c>
      <c r="O240">
        <f>Table1[[#This Row],[Total Price]]-Table1[[#This Row],[Discount Amount]]</f>
        <v>18415.560000000001</v>
      </c>
    </row>
    <row r="241" spans="1:15" x14ac:dyDescent="0.3">
      <c r="A241" t="s">
        <v>756</v>
      </c>
      <c r="B241" s="1">
        <v>45637</v>
      </c>
      <c r="C241" t="s">
        <v>757</v>
      </c>
      <c r="D241" t="s">
        <v>25</v>
      </c>
      <c r="E241">
        <v>1</v>
      </c>
      <c r="F241">
        <v>11238</v>
      </c>
      <c r="G241" s="9">
        <v>0.25</v>
      </c>
      <c r="H241" t="s">
        <v>20</v>
      </c>
      <c r="I241" t="s">
        <v>758</v>
      </c>
      <c r="J241" s="14" t="s">
        <v>14</v>
      </c>
      <c r="K241">
        <v>6</v>
      </c>
      <c r="L241" t="s">
        <v>28</v>
      </c>
      <c r="M241">
        <f>Table1[[#This Row],[UnitPrice]]*Table1[[#This Row],[Quantity]]</f>
        <v>11238</v>
      </c>
      <c r="N241">
        <f>Table1[[#This Row],[Total Price]]*Table1[[#This Row],[Discount]]</f>
        <v>2809.5</v>
      </c>
      <c r="O241">
        <f>Table1[[#This Row],[Total Price]]-Table1[[#This Row],[Discount Amount]]</f>
        <v>8428.5</v>
      </c>
    </row>
    <row r="242" spans="1:15" x14ac:dyDescent="0.3">
      <c r="A242" t="s">
        <v>759</v>
      </c>
      <c r="B242" s="1">
        <v>45119</v>
      </c>
      <c r="C242" t="s">
        <v>760</v>
      </c>
      <c r="D242" t="s">
        <v>25</v>
      </c>
      <c r="E242">
        <v>2</v>
      </c>
      <c r="F242">
        <v>18509</v>
      </c>
      <c r="G242" s="9">
        <v>0.22</v>
      </c>
      <c r="H242" t="s">
        <v>20</v>
      </c>
      <c r="I242" t="s">
        <v>761</v>
      </c>
      <c r="J242" s="13" t="s">
        <v>73</v>
      </c>
      <c r="K242">
        <v>2</v>
      </c>
      <c r="L242" t="s">
        <v>16</v>
      </c>
      <c r="M242">
        <f>Table1[[#This Row],[UnitPrice]]*Table1[[#This Row],[Quantity]]</f>
        <v>37018</v>
      </c>
      <c r="N242">
        <f>Table1[[#This Row],[Total Price]]*Table1[[#This Row],[Discount]]</f>
        <v>8143.96</v>
      </c>
      <c r="O242">
        <f>Table1[[#This Row],[Total Price]]-Table1[[#This Row],[Discount Amount]]</f>
        <v>28874.04</v>
      </c>
    </row>
    <row r="243" spans="1:15" x14ac:dyDescent="0.3">
      <c r="A243" t="s">
        <v>762</v>
      </c>
      <c r="B243" s="1">
        <v>45062</v>
      </c>
      <c r="C243" t="s">
        <v>763</v>
      </c>
      <c r="D243" t="s">
        <v>31</v>
      </c>
      <c r="E243">
        <v>1</v>
      </c>
      <c r="F243">
        <v>17375</v>
      </c>
      <c r="G243" s="9">
        <v>0.14000000000000001</v>
      </c>
      <c r="H243" t="s">
        <v>20</v>
      </c>
      <c r="I243" t="s">
        <v>764</v>
      </c>
      <c r="J243" s="14" t="s">
        <v>73</v>
      </c>
      <c r="K243">
        <v>6</v>
      </c>
      <c r="L243" t="s">
        <v>28</v>
      </c>
      <c r="M243">
        <f>Table1[[#This Row],[UnitPrice]]*Table1[[#This Row],[Quantity]]</f>
        <v>17375</v>
      </c>
      <c r="N243">
        <f>Table1[[#This Row],[Total Price]]*Table1[[#This Row],[Discount]]</f>
        <v>2432.5000000000005</v>
      </c>
      <c r="O243">
        <f>Table1[[#This Row],[Total Price]]-Table1[[#This Row],[Discount Amount]]</f>
        <v>14942.5</v>
      </c>
    </row>
    <row r="244" spans="1:15" x14ac:dyDescent="0.3">
      <c r="A244" t="s">
        <v>765</v>
      </c>
      <c r="B244" s="1">
        <v>45055</v>
      </c>
      <c r="C244" t="s">
        <v>766</v>
      </c>
      <c r="D244" t="s">
        <v>36</v>
      </c>
      <c r="E244">
        <v>1</v>
      </c>
      <c r="F244">
        <v>6501</v>
      </c>
      <c r="G244" s="9">
        <v>0.15</v>
      </c>
      <c r="H244" t="s">
        <v>20</v>
      </c>
      <c r="I244" t="s">
        <v>767</v>
      </c>
      <c r="J244" s="13" t="s">
        <v>73</v>
      </c>
      <c r="K244">
        <v>4</v>
      </c>
      <c r="L244" t="s">
        <v>22</v>
      </c>
      <c r="M244">
        <f>Table1[[#This Row],[UnitPrice]]*Table1[[#This Row],[Quantity]]</f>
        <v>6501</v>
      </c>
      <c r="N244">
        <f>Table1[[#This Row],[Total Price]]*Table1[[#This Row],[Discount]]</f>
        <v>975.15</v>
      </c>
      <c r="O244">
        <f>Table1[[#This Row],[Total Price]]-Table1[[#This Row],[Discount Amount]]</f>
        <v>5525.85</v>
      </c>
    </row>
    <row r="245" spans="1:15" x14ac:dyDescent="0.3">
      <c r="A245" t="s">
        <v>768</v>
      </c>
      <c r="B245" s="1">
        <v>45786</v>
      </c>
      <c r="C245" t="s">
        <v>769</v>
      </c>
      <c r="D245" t="s">
        <v>31</v>
      </c>
      <c r="E245">
        <v>2</v>
      </c>
      <c r="F245">
        <v>37897</v>
      </c>
      <c r="G245" s="9">
        <v>0.32</v>
      </c>
      <c r="H245" t="s">
        <v>20</v>
      </c>
      <c r="I245" t="s">
        <v>770</v>
      </c>
      <c r="J245" s="14" t="s">
        <v>73</v>
      </c>
      <c r="K245">
        <v>7</v>
      </c>
      <c r="L245" t="s">
        <v>60</v>
      </c>
      <c r="M245">
        <f>Table1[[#This Row],[UnitPrice]]*Table1[[#This Row],[Quantity]]</f>
        <v>75794</v>
      </c>
      <c r="N245">
        <f>Table1[[#This Row],[Total Price]]*Table1[[#This Row],[Discount]]</f>
        <v>24254.080000000002</v>
      </c>
      <c r="O245">
        <f>Table1[[#This Row],[Total Price]]-Table1[[#This Row],[Discount Amount]]</f>
        <v>51539.92</v>
      </c>
    </row>
    <row r="246" spans="1:15" x14ac:dyDescent="0.3">
      <c r="A246" t="s">
        <v>771</v>
      </c>
      <c r="B246" s="1">
        <v>44973</v>
      </c>
      <c r="C246" t="s">
        <v>772</v>
      </c>
      <c r="D246" t="s">
        <v>58</v>
      </c>
      <c r="E246">
        <v>2</v>
      </c>
      <c r="F246">
        <v>3348</v>
      </c>
      <c r="G246" s="9">
        <v>0.36</v>
      </c>
      <c r="H246" t="s">
        <v>13</v>
      </c>
      <c r="I246" t="s">
        <v>773</v>
      </c>
      <c r="J246" s="13" t="s">
        <v>73</v>
      </c>
      <c r="K246">
        <v>4</v>
      </c>
      <c r="L246" t="s">
        <v>33</v>
      </c>
      <c r="M246">
        <f>Table1[[#This Row],[UnitPrice]]*Table1[[#This Row],[Quantity]]</f>
        <v>6696</v>
      </c>
      <c r="N246">
        <f>Table1[[#This Row],[Total Price]]*Table1[[#This Row],[Discount]]</f>
        <v>2410.56</v>
      </c>
      <c r="O246">
        <f>Table1[[#This Row],[Total Price]]-Table1[[#This Row],[Discount Amount]]</f>
        <v>4285.4400000000005</v>
      </c>
    </row>
    <row r="247" spans="1:15" x14ac:dyDescent="0.3">
      <c r="A247" t="s">
        <v>774</v>
      </c>
      <c r="B247" s="1">
        <v>45767</v>
      </c>
      <c r="C247" t="s">
        <v>775</v>
      </c>
      <c r="D247" t="s">
        <v>44</v>
      </c>
      <c r="E247">
        <v>2</v>
      </c>
      <c r="F247">
        <v>26361</v>
      </c>
      <c r="G247" s="9">
        <v>0.28999999999999998</v>
      </c>
      <c r="H247" t="s">
        <v>20</v>
      </c>
      <c r="I247" t="s">
        <v>776</v>
      </c>
      <c r="J247" s="14" t="s">
        <v>73</v>
      </c>
      <c r="K247">
        <v>1</v>
      </c>
      <c r="L247" t="s">
        <v>33</v>
      </c>
      <c r="M247">
        <f>Table1[[#This Row],[UnitPrice]]*Table1[[#This Row],[Quantity]]</f>
        <v>52722</v>
      </c>
      <c r="N247">
        <f>Table1[[#This Row],[Total Price]]*Table1[[#This Row],[Discount]]</f>
        <v>15289.38</v>
      </c>
      <c r="O247">
        <f>Table1[[#This Row],[Total Price]]-Table1[[#This Row],[Discount Amount]]</f>
        <v>37432.620000000003</v>
      </c>
    </row>
    <row r="248" spans="1:15" x14ac:dyDescent="0.3">
      <c r="A248" t="s">
        <v>777</v>
      </c>
      <c r="B248" s="1">
        <v>45534</v>
      </c>
      <c r="C248" t="s">
        <v>778</v>
      </c>
      <c r="D248" t="s">
        <v>58</v>
      </c>
      <c r="E248">
        <v>2</v>
      </c>
      <c r="F248">
        <v>4388</v>
      </c>
      <c r="G248" s="9">
        <v>0.49</v>
      </c>
      <c r="H248" t="s">
        <v>45</v>
      </c>
      <c r="I248" t="s">
        <v>779</v>
      </c>
      <c r="J248" s="13" t="s">
        <v>14</v>
      </c>
      <c r="K248">
        <v>2</v>
      </c>
      <c r="L248" t="s">
        <v>16</v>
      </c>
      <c r="M248">
        <f>Table1[[#This Row],[UnitPrice]]*Table1[[#This Row],[Quantity]]</f>
        <v>8776</v>
      </c>
      <c r="N248">
        <f>Table1[[#This Row],[Total Price]]*Table1[[#This Row],[Discount]]</f>
        <v>4300.24</v>
      </c>
      <c r="O248">
        <f>Table1[[#This Row],[Total Price]]-Table1[[#This Row],[Discount Amount]]</f>
        <v>4475.76</v>
      </c>
    </row>
    <row r="249" spans="1:15" x14ac:dyDescent="0.3">
      <c r="A249" t="s">
        <v>780</v>
      </c>
      <c r="B249" s="1">
        <v>45127</v>
      </c>
      <c r="C249" t="s">
        <v>781</v>
      </c>
      <c r="D249" t="s">
        <v>36</v>
      </c>
      <c r="E249">
        <v>1</v>
      </c>
      <c r="F249">
        <v>8968</v>
      </c>
      <c r="G249" s="9">
        <v>0.47</v>
      </c>
      <c r="H249" t="s">
        <v>45</v>
      </c>
      <c r="I249" t="s">
        <v>782</v>
      </c>
      <c r="J249" s="14" t="s">
        <v>14</v>
      </c>
      <c r="K249">
        <v>4</v>
      </c>
      <c r="L249" t="s">
        <v>28</v>
      </c>
      <c r="M249">
        <f>Table1[[#This Row],[UnitPrice]]*Table1[[#This Row],[Quantity]]</f>
        <v>8968</v>
      </c>
      <c r="N249">
        <f>Table1[[#This Row],[Total Price]]*Table1[[#This Row],[Discount]]</f>
        <v>4214.96</v>
      </c>
      <c r="O249">
        <f>Table1[[#This Row],[Total Price]]-Table1[[#This Row],[Discount Amount]]</f>
        <v>4753.04</v>
      </c>
    </row>
    <row r="250" spans="1:15" x14ac:dyDescent="0.3">
      <c r="A250" t="s">
        <v>783</v>
      </c>
      <c r="B250" s="1">
        <v>45109</v>
      </c>
      <c r="C250" t="s">
        <v>784</v>
      </c>
      <c r="D250" t="s">
        <v>44</v>
      </c>
      <c r="E250">
        <v>1</v>
      </c>
      <c r="F250">
        <v>21917</v>
      </c>
      <c r="G250" s="9">
        <v>0.05</v>
      </c>
      <c r="H250" t="s">
        <v>50</v>
      </c>
      <c r="I250" t="s">
        <v>785</v>
      </c>
      <c r="J250" s="13" t="s">
        <v>14</v>
      </c>
      <c r="K250">
        <v>6</v>
      </c>
      <c r="L250" t="s">
        <v>22</v>
      </c>
      <c r="M250">
        <f>Table1[[#This Row],[UnitPrice]]*Table1[[#This Row],[Quantity]]</f>
        <v>21917</v>
      </c>
      <c r="N250">
        <f>Table1[[#This Row],[Total Price]]*Table1[[#This Row],[Discount]]</f>
        <v>1095.8500000000001</v>
      </c>
      <c r="O250">
        <f>Table1[[#This Row],[Total Price]]-Table1[[#This Row],[Discount Amount]]</f>
        <v>20821.150000000001</v>
      </c>
    </row>
    <row r="251" spans="1:15" x14ac:dyDescent="0.3">
      <c r="A251" t="s">
        <v>786</v>
      </c>
      <c r="B251" s="1">
        <v>45329</v>
      </c>
      <c r="C251" t="s">
        <v>787</v>
      </c>
      <c r="D251" t="s">
        <v>36</v>
      </c>
      <c r="E251">
        <v>3</v>
      </c>
      <c r="F251">
        <v>5650</v>
      </c>
      <c r="G251" s="9">
        <v>0.13</v>
      </c>
      <c r="H251" t="s">
        <v>50</v>
      </c>
      <c r="I251" t="s">
        <v>788</v>
      </c>
      <c r="J251" s="14" t="s">
        <v>73</v>
      </c>
      <c r="K251">
        <v>5</v>
      </c>
      <c r="L251" t="s">
        <v>22</v>
      </c>
      <c r="M251">
        <f>Table1[[#This Row],[UnitPrice]]*Table1[[#This Row],[Quantity]]</f>
        <v>16950</v>
      </c>
      <c r="N251">
        <f>Table1[[#This Row],[Total Price]]*Table1[[#This Row],[Discount]]</f>
        <v>2203.5</v>
      </c>
      <c r="O251">
        <f>Table1[[#This Row],[Total Price]]-Table1[[#This Row],[Discount Amount]]</f>
        <v>14746.5</v>
      </c>
    </row>
    <row r="252" spans="1:15" x14ac:dyDescent="0.3">
      <c r="A252" t="s">
        <v>789</v>
      </c>
      <c r="B252" s="1">
        <v>45021</v>
      </c>
      <c r="C252" t="s">
        <v>790</v>
      </c>
      <c r="D252" t="s">
        <v>58</v>
      </c>
      <c r="E252">
        <v>2</v>
      </c>
      <c r="F252">
        <v>1455</v>
      </c>
      <c r="G252" s="9">
        <v>0.43</v>
      </c>
      <c r="H252" t="s">
        <v>45</v>
      </c>
      <c r="I252" t="s">
        <v>791</v>
      </c>
      <c r="J252" s="13" t="s">
        <v>14</v>
      </c>
      <c r="K252">
        <v>8</v>
      </c>
      <c r="L252" t="s">
        <v>28</v>
      </c>
      <c r="M252">
        <f>Table1[[#This Row],[UnitPrice]]*Table1[[#This Row],[Quantity]]</f>
        <v>2910</v>
      </c>
      <c r="N252">
        <f>Table1[[#This Row],[Total Price]]*Table1[[#This Row],[Discount]]</f>
        <v>1251.3</v>
      </c>
      <c r="O252">
        <f>Table1[[#This Row],[Total Price]]-Table1[[#This Row],[Discount Amount]]</f>
        <v>1658.7</v>
      </c>
    </row>
    <row r="253" spans="1:15" x14ac:dyDescent="0.3">
      <c r="A253" t="s">
        <v>792</v>
      </c>
      <c r="B253" s="1">
        <v>45792</v>
      </c>
      <c r="C253" t="s">
        <v>793</v>
      </c>
      <c r="D253" t="s">
        <v>12</v>
      </c>
      <c r="E253">
        <v>3</v>
      </c>
      <c r="F253">
        <v>4505</v>
      </c>
      <c r="G253" s="9">
        <v>0.01</v>
      </c>
      <c r="H253" t="s">
        <v>50</v>
      </c>
      <c r="I253" t="s">
        <v>794</v>
      </c>
      <c r="J253" s="14" t="s">
        <v>14</v>
      </c>
      <c r="K253">
        <v>9</v>
      </c>
      <c r="L253" t="s">
        <v>28</v>
      </c>
      <c r="M253">
        <f>Table1[[#This Row],[UnitPrice]]*Table1[[#This Row],[Quantity]]</f>
        <v>13515</v>
      </c>
      <c r="N253">
        <f>Table1[[#This Row],[Total Price]]*Table1[[#This Row],[Discount]]</f>
        <v>135.15</v>
      </c>
      <c r="O253">
        <f>Table1[[#This Row],[Total Price]]-Table1[[#This Row],[Discount Amount]]</f>
        <v>13379.85</v>
      </c>
    </row>
    <row r="254" spans="1:15" x14ac:dyDescent="0.3">
      <c r="A254" t="s">
        <v>795</v>
      </c>
      <c r="B254" s="1">
        <v>45555</v>
      </c>
      <c r="C254" t="s">
        <v>796</v>
      </c>
      <c r="D254" t="s">
        <v>19</v>
      </c>
      <c r="E254">
        <v>1</v>
      </c>
      <c r="F254">
        <v>17553</v>
      </c>
      <c r="G254" s="9">
        <v>0.3</v>
      </c>
      <c r="H254" t="s">
        <v>45</v>
      </c>
      <c r="I254" t="s">
        <v>797</v>
      </c>
      <c r="J254" s="13" t="s">
        <v>37</v>
      </c>
      <c r="K254">
        <v>5</v>
      </c>
      <c r="L254" t="s">
        <v>33</v>
      </c>
      <c r="M254">
        <f>Table1[[#This Row],[UnitPrice]]*Table1[[#This Row],[Quantity]]</f>
        <v>17553</v>
      </c>
      <c r="N254">
        <f>Table1[[#This Row],[Total Price]]*Table1[[#This Row],[Discount]]</f>
        <v>5265.9</v>
      </c>
      <c r="O254">
        <f>Table1[[#This Row],[Total Price]]-Table1[[#This Row],[Discount Amount]]</f>
        <v>12287.1</v>
      </c>
    </row>
    <row r="255" spans="1:15" x14ac:dyDescent="0.3">
      <c r="A255" t="s">
        <v>798</v>
      </c>
      <c r="B255" s="1">
        <v>45374</v>
      </c>
      <c r="C255" t="s">
        <v>799</v>
      </c>
      <c r="D255" t="s">
        <v>31</v>
      </c>
      <c r="E255">
        <v>1</v>
      </c>
      <c r="F255">
        <v>18852</v>
      </c>
      <c r="G255" s="9">
        <v>0.48</v>
      </c>
      <c r="H255" t="s">
        <v>45</v>
      </c>
      <c r="I255" t="s">
        <v>800</v>
      </c>
      <c r="J255" s="14" t="s">
        <v>73</v>
      </c>
      <c r="K255">
        <v>7</v>
      </c>
      <c r="L255" t="s">
        <v>16</v>
      </c>
      <c r="M255">
        <f>Table1[[#This Row],[UnitPrice]]*Table1[[#This Row],[Quantity]]</f>
        <v>18852</v>
      </c>
      <c r="N255">
        <f>Table1[[#This Row],[Total Price]]*Table1[[#This Row],[Discount]]</f>
        <v>9048.9599999999991</v>
      </c>
      <c r="O255">
        <f>Table1[[#This Row],[Total Price]]-Table1[[#This Row],[Discount Amount]]</f>
        <v>9803.0400000000009</v>
      </c>
    </row>
    <row r="256" spans="1:15" x14ac:dyDescent="0.3">
      <c r="A256" t="s">
        <v>801</v>
      </c>
      <c r="B256" s="1">
        <v>45286</v>
      </c>
      <c r="C256" t="s">
        <v>802</v>
      </c>
      <c r="D256" t="s">
        <v>12</v>
      </c>
      <c r="E256">
        <v>2</v>
      </c>
      <c r="F256">
        <v>4779</v>
      </c>
      <c r="G256" s="9">
        <v>0.34</v>
      </c>
      <c r="H256" t="s">
        <v>20</v>
      </c>
      <c r="I256" t="s">
        <v>803</v>
      </c>
      <c r="J256" s="13" t="s">
        <v>37</v>
      </c>
      <c r="K256">
        <v>5</v>
      </c>
      <c r="L256" t="s">
        <v>16</v>
      </c>
      <c r="M256">
        <f>Table1[[#This Row],[UnitPrice]]*Table1[[#This Row],[Quantity]]</f>
        <v>9558</v>
      </c>
      <c r="N256">
        <f>Table1[[#This Row],[Total Price]]*Table1[[#This Row],[Discount]]</f>
        <v>3249.7200000000003</v>
      </c>
      <c r="O256">
        <f>Table1[[#This Row],[Total Price]]-Table1[[#This Row],[Discount Amount]]</f>
        <v>6308.28</v>
      </c>
    </row>
    <row r="257" spans="1:15" x14ac:dyDescent="0.3">
      <c r="A257" t="s">
        <v>804</v>
      </c>
      <c r="B257" s="1">
        <v>45425</v>
      </c>
      <c r="C257" t="s">
        <v>805</v>
      </c>
      <c r="D257" t="s">
        <v>12</v>
      </c>
      <c r="E257">
        <v>2</v>
      </c>
      <c r="F257">
        <v>6908</v>
      </c>
      <c r="G257" s="9">
        <v>0.05</v>
      </c>
      <c r="H257" t="s">
        <v>45</v>
      </c>
      <c r="I257" t="s">
        <v>806</v>
      </c>
      <c r="J257" s="14" t="s">
        <v>73</v>
      </c>
      <c r="K257">
        <v>2</v>
      </c>
      <c r="L257" t="s">
        <v>60</v>
      </c>
      <c r="M257">
        <f>Table1[[#This Row],[UnitPrice]]*Table1[[#This Row],[Quantity]]</f>
        <v>13816</v>
      </c>
      <c r="N257">
        <f>Table1[[#This Row],[Total Price]]*Table1[[#This Row],[Discount]]</f>
        <v>690.80000000000007</v>
      </c>
      <c r="O257">
        <f>Table1[[#This Row],[Total Price]]-Table1[[#This Row],[Discount Amount]]</f>
        <v>13125.2</v>
      </c>
    </row>
    <row r="258" spans="1:15" x14ac:dyDescent="0.3">
      <c r="A258" t="s">
        <v>807</v>
      </c>
      <c r="B258" s="1">
        <v>45838</v>
      </c>
      <c r="C258" t="s">
        <v>808</v>
      </c>
      <c r="D258" t="s">
        <v>31</v>
      </c>
      <c r="E258">
        <v>2</v>
      </c>
      <c r="F258">
        <v>34405</v>
      </c>
      <c r="G258" s="9">
        <v>0.37</v>
      </c>
      <c r="H258" t="s">
        <v>45</v>
      </c>
      <c r="I258" t="s">
        <v>809</v>
      </c>
      <c r="J258" s="13" t="s">
        <v>73</v>
      </c>
      <c r="K258">
        <v>10</v>
      </c>
      <c r="L258" t="s">
        <v>16</v>
      </c>
      <c r="M258">
        <f>Table1[[#This Row],[UnitPrice]]*Table1[[#This Row],[Quantity]]</f>
        <v>68810</v>
      </c>
      <c r="N258">
        <f>Table1[[#This Row],[Total Price]]*Table1[[#This Row],[Discount]]</f>
        <v>25459.7</v>
      </c>
      <c r="O258">
        <f>Table1[[#This Row],[Total Price]]-Table1[[#This Row],[Discount Amount]]</f>
        <v>43350.3</v>
      </c>
    </row>
    <row r="259" spans="1:15" x14ac:dyDescent="0.3">
      <c r="A259" t="s">
        <v>810</v>
      </c>
      <c r="B259" s="1">
        <v>45405</v>
      </c>
      <c r="C259" t="s">
        <v>811</v>
      </c>
      <c r="D259" t="s">
        <v>19</v>
      </c>
      <c r="E259">
        <v>2</v>
      </c>
      <c r="F259">
        <v>44599</v>
      </c>
      <c r="G259" s="9">
        <v>0.19</v>
      </c>
      <c r="H259" t="s">
        <v>26</v>
      </c>
      <c r="I259" t="s">
        <v>812</v>
      </c>
      <c r="J259" s="14" t="s">
        <v>37</v>
      </c>
      <c r="K259">
        <v>5</v>
      </c>
      <c r="L259" t="s">
        <v>22</v>
      </c>
      <c r="M259">
        <f>Table1[[#This Row],[UnitPrice]]*Table1[[#This Row],[Quantity]]</f>
        <v>89198</v>
      </c>
      <c r="N259">
        <f>Table1[[#This Row],[Total Price]]*Table1[[#This Row],[Discount]]</f>
        <v>16947.62</v>
      </c>
      <c r="O259">
        <f>Table1[[#This Row],[Total Price]]-Table1[[#This Row],[Discount Amount]]</f>
        <v>72250.38</v>
      </c>
    </row>
    <row r="260" spans="1:15" x14ac:dyDescent="0.3">
      <c r="A260" t="s">
        <v>813</v>
      </c>
      <c r="B260" s="1">
        <v>45348</v>
      </c>
      <c r="C260" t="s">
        <v>814</v>
      </c>
      <c r="D260" t="s">
        <v>25</v>
      </c>
      <c r="E260">
        <v>2</v>
      </c>
      <c r="F260">
        <v>17604</v>
      </c>
      <c r="G260" s="9">
        <v>0.46</v>
      </c>
      <c r="H260" t="s">
        <v>20</v>
      </c>
      <c r="I260" t="s">
        <v>815</v>
      </c>
      <c r="J260" s="13" t="s">
        <v>14</v>
      </c>
      <c r="K260">
        <v>2</v>
      </c>
      <c r="L260" t="s">
        <v>22</v>
      </c>
      <c r="M260">
        <f>Table1[[#This Row],[UnitPrice]]*Table1[[#This Row],[Quantity]]</f>
        <v>35208</v>
      </c>
      <c r="N260">
        <f>Table1[[#This Row],[Total Price]]*Table1[[#This Row],[Discount]]</f>
        <v>16195.68</v>
      </c>
      <c r="O260">
        <f>Table1[[#This Row],[Total Price]]-Table1[[#This Row],[Discount Amount]]</f>
        <v>19012.32</v>
      </c>
    </row>
    <row r="261" spans="1:15" x14ac:dyDescent="0.3">
      <c r="A261" t="s">
        <v>816</v>
      </c>
      <c r="B261" s="1">
        <v>45088</v>
      </c>
      <c r="C261" t="s">
        <v>817</v>
      </c>
      <c r="D261" t="s">
        <v>31</v>
      </c>
      <c r="E261">
        <v>2</v>
      </c>
      <c r="F261">
        <v>26154</v>
      </c>
      <c r="G261" s="9">
        <v>0.14000000000000001</v>
      </c>
      <c r="H261" t="s">
        <v>26</v>
      </c>
      <c r="I261" t="s">
        <v>818</v>
      </c>
      <c r="J261" s="14" t="s">
        <v>37</v>
      </c>
      <c r="K261">
        <v>9</v>
      </c>
      <c r="L261" t="s">
        <v>16</v>
      </c>
      <c r="M261">
        <f>Table1[[#This Row],[UnitPrice]]*Table1[[#This Row],[Quantity]]</f>
        <v>52308</v>
      </c>
      <c r="N261">
        <f>Table1[[#This Row],[Total Price]]*Table1[[#This Row],[Discount]]</f>
        <v>7323.1200000000008</v>
      </c>
      <c r="O261">
        <f>Table1[[#This Row],[Total Price]]-Table1[[#This Row],[Discount Amount]]</f>
        <v>44984.88</v>
      </c>
    </row>
    <row r="262" spans="1:15" x14ac:dyDescent="0.3">
      <c r="A262" t="s">
        <v>819</v>
      </c>
      <c r="B262" s="1">
        <v>45063</v>
      </c>
      <c r="C262" t="s">
        <v>820</v>
      </c>
      <c r="D262" t="s">
        <v>12</v>
      </c>
      <c r="E262">
        <v>1</v>
      </c>
      <c r="F262">
        <v>9795</v>
      </c>
      <c r="G262" s="9">
        <v>0.24</v>
      </c>
      <c r="H262" t="s">
        <v>13</v>
      </c>
      <c r="I262" t="s">
        <v>821</v>
      </c>
      <c r="J262" s="13" t="s">
        <v>14</v>
      </c>
      <c r="K262">
        <v>3</v>
      </c>
      <c r="L262" t="s">
        <v>60</v>
      </c>
      <c r="M262">
        <f>Table1[[#This Row],[UnitPrice]]*Table1[[#This Row],[Quantity]]</f>
        <v>9795</v>
      </c>
      <c r="N262">
        <f>Table1[[#This Row],[Total Price]]*Table1[[#This Row],[Discount]]</f>
        <v>2350.7999999999997</v>
      </c>
      <c r="O262">
        <f>Table1[[#This Row],[Total Price]]-Table1[[#This Row],[Discount Amount]]</f>
        <v>7444.2000000000007</v>
      </c>
    </row>
    <row r="263" spans="1:15" x14ac:dyDescent="0.3">
      <c r="A263" t="s">
        <v>822</v>
      </c>
      <c r="B263" s="1">
        <v>45805</v>
      </c>
      <c r="C263" t="s">
        <v>823</v>
      </c>
      <c r="D263" t="s">
        <v>19</v>
      </c>
      <c r="E263">
        <v>3</v>
      </c>
      <c r="F263">
        <v>28219</v>
      </c>
      <c r="G263" s="9">
        <v>0.37</v>
      </c>
      <c r="H263" t="s">
        <v>45</v>
      </c>
      <c r="I263" t="s">
        <v>824</v>
      </c>
      <c r="J263" s="14" t="s">
        <v>37</v>
      </c>
      <c r="K263">
        <v>9</v>
      </c>
      <c r="L263" t="s">
        <v>28</v>
      </c>
      <c r="M263">
        <f>Table1[[#This Row],[UnitPrice]]*Table1[[#This Row],[Quantity]]</f>
        <v>84657</v>
      </c>
      <c r="N263">
        <f>Table1[[#This Row],[Total Price]]*Table1[[#This Row],[Discount]]</f>
        <v>31323.09</v>
      </c>
      <c r="O263">
        <f>Table1[[#This Row],[Total Price]]-Table1[[#This Row],[Discount Amount]]</f>
        <v>53333.91</v>
      </c>
    </row>
    <row r="264" spans="1:15" x14ac:dyDescent="0.3">
      <c r="A264" t="s">
        <v>825</v>
      </c>
      <c r="B264" s="1">
        <v>44936</v>
      </c>
      <c r="C264" t="s">
        <v>826</v>
      </c>
      <c r="D264" t="s">
        <v>19</v>
      </c>
      <c r="E264">
        <v>3</v>
      </c>
      <c r="F264">
        <v>28250</v>
      </c>
      <c r="G264" s="9">
        <v>0.13</v>
      </c>
      <c r="H264" t="s">
        <v>26</v>
      </c>
      <c r="I264" t="s">
        <v>827</v>
      </c>
      <c r="J264" s="13" t="s">
        <v>37</v>
      </c>
      <c r="K264">
        <v>5</v>
      </c>
      <c r="L264" t="s">
        <v>22</v>
      </c>
      <c r="M264">
        <f>Table1[[#This Row],[UnitPrice]]*Table1[[#This Row],[Quantity]]</f>
        <v>84750</v>
      </c>
      <c r="N264">
        <f>Table1[[#This Row],[Total Price]]*Table1[[#This Row],[Discount]]</f>
        <v>11017.5</v>
      </c>
      <c r="O264">
        <f>Table1[[#This Row],[Total Price]]-Table1[[#This Row],[Discount Amount]]</f>
        <v>73732.5</v>
      </c>
    </row>
    <row r="265" spans="1:15" x14ac:dyDescent="0.3">
      <c r="A265" t="s">
        <v>828</v>
      </c>
      <c r="B265" s="1">
        <v>45010</v>
      </c>
      <c r="C265" t="s">
        <v>829</v>
      </c>
      <c r="D265" t="s">
        <v>19</v>
      </c>
      <c r="E265">
        <v>1</v>
      </c>
      <c r="F265">
        <v>19435</v>
      </c>
      <c r="G265" s="9">
        <v>0.09</v>
      </c>
      <c r="H265" t="s">
        <v>26</v>
      </c>
      <c r="I265" t="s">
        <v>830</v>
      </c>
      <c r="J265" s="14" t="s">
        <v>73</v>
      </c>
      <c r="K265">
        <v>4</v>
      </c>
      <c r="L265" t="s">
        <v>60</v>
      </c>
      <c r="M265">
        <f>Table1[[#This Row],[UnitPrice]]*Table1[[#This Row],[Quantity]]</f>
        <v>19435</v>
      </c>
      <c r="N265">
        <f>Table1[[#This Row],[Total Price]]*Table1[[#This Row],[Discount]]</f>
        <v>1749.1499999999999</v>
      </c>
      <c r="O265">
        <f>Table1[[#This Row],[Total Price]]-Table1[[#This Row],[Discount Amount]]</f>
        <v>17685.849999999999</v>
      </c>
    </row>
    <row r="266" spans="1:15" x14ac:dyDescent="0.3">
      <c r="A266" t="s">
        <v>831</v>
      </c>
      <c r="B266" s="1">
        <v>45507</v>
      </c>
      <c r="C266" t="s">
        <v>832</v>
      </c>
      <c r="D266" t="s">
        <v>25</v>
      </c>
      <c r="E266">
        <v>2</v>
      </c>
      <c r="F266">
        <v>15334</v>
      </c>
      <c r="G266" s="9">
        <v>0</v>
      </c>
      <c r="H266" t="s">
        <v>50</v>
      </c>
      <c r="I266" t="s">
        <v>833</v>
      </c>
      <c r="J266" s="13" t="s">
        <v>73</v>
      </c>
      <c r="K266">
        <v>5</v>
      </c>
      <c r="L266" t="s">
        <v>60</v>
      </c>
      <c r="M266">
        <f>Table1[[#This Row],[UnitPrice]]*Table1[[#This Row],[Quantity]]</f>
        <v>30668</v>
      </c>
      <c r="N266">
        <f>Table1[[#This Row],[Total Price]]*Table1[[#This Row],[Discount]]</f>
        <v>0</v>
      </c>
      <c r="O266">
        <f>Table1[[#This Row],[Total Price]]-Table1[[#This Row],[Discount Amount]]</f>
        <v>30668</v>
      </c>
    </row>
    <row r="267" spans="1:15" x14ac:dyDescent="0.3">
      <c r="A267" t="s">
        <v>834</v>
      </c>
      <c r="B267" s="1">
        <v>45282</v>
      </c>
      <c r="C267" t="s">
        <v>835</v>
      </c>
      <c r="D267" t="s">
        <v>36</v>
      </c>
      <c r="E267">
        <v>2</v>
      </c>
      <c r="F267">
        <v>7202</v>
      </c>
      <c r="G267" s="9">
        <v>0.24</v>
      </c>
      <c r="H267" t="s">
        <v>13</v>
      </c>
      <c r="I267" t="s">
        <v>836</v>
      </c>
      <c r="J267" s="14" t="s">
        <v>14</v>
      </c>
      <c r="K267">
        <v>4</v>
      </c>
      <c r="L267" t="s">
        <v>60</v>
      </c>
      <c r="M267">
        <f>Table1[[#This Row],[UnitPrice]]*Table1[[#This Row],[Quantity]]</f>
        <v>14404</v>
      </c>
      <c r="N267">
        <f>Table1[[#This Row],[Total Price]]*Table1[[#This Row],[Discount]]</f>
        <v>3456.96</v>
      </c>
      <c r="O267">
        <f>Table1[[#This Row],[Total Price]]-Table1[[#This Row],[Discount Amount]]</f>
        <v>10947.04</v>
      </c>
    </row>
    <row r="268" spans="1:15" x14ac:dyDescent="0.3">
      <c r="A268" t="s">
        <v>837</v>
      </c>
      <c r="B268" s="1">
        <v>45451</v>
      </c>
      <c r="C268" t="s">
        <v>838</v>
      </c>
      <c r="D268" t="s">
        <v>31</v>
      </c>
      <c r="E268">
        <v>1</v>
      </c>
      <c r="F268">
        <v>19413</v>
      </c>
      <c r="G268" s="9">
        <v>0.46</v>
      </c>
      <c r="H268" t="s">
        <v>26</v>
      </c>
      <c r="I268" t="s">
        <v>839</v>
      </c>
      <c r="J268" s="13" t="s">
        <v>37</v>
      </c>
      <c r="K268">
        <v>6</v>
      </c>
      <c r="L268" t="s">
        <v>22</v>
      </c>
      <c r="M268">
        <f>Table1[[#This Row],[UnitPrice]]*Table1[[#This Row],[Quantity]]</f>
        <v>19413</v>
      </c>
      <c r="N268">
        <f>Table1[[#This Row],[Total Price]]*Table1[[#This Row],[Discount]]</f>
        <v>8929.98</v>
      </c>
      <c r="O268">
        <f>Table1[[#This Row],[Total Price]]-Table1[[#This Row],[Discount Amount]]</f>
        <v>10483.02</v>
      </c>
    </row>
    <row r="269" spans="1:15" x14ac:dyDescent="0.3">
      <c r="A269" t="s">
        <v>840</v>
      </c>
      <c r="B269" s="1">
        <v>45764</v>
      </c>
      <c r="C269" t="s">
        <v>841</v>
      </c>
      <c r="D269" t="s">
        <v>31</v>
      </c>
      <c r="E269">
        <v>3</v>
      </c>
      <c r="F269">
        <v>30499</v>
      </c>
      <c r="G269" s="9">
        <v>0.14000000000000001</v>
      </c>
      <c r="H269" t="s">
        <v>13</v>
      </c>
      <c r="I269" t="s">
        <v>842</v>
      </c>
      <c r="J269" s="14" t="s">
        <v>37</v>
      </c>
      <c r="K269">
        <v>9</v>
      </c>
      <c r="L269" t="s">
        <v>33</v>
      </c>
      <c r="M269">
        <f>Table1[[#This Row],[UnitPrice]]*Table1[[#This Row],[Quantity]]</f>
        <v>91497</v>
      </c>
      <c r="N269">
        <f>Table1[[#This Row],[Total Price]]*Table1[[#This Row],[Discount]]</f>
        <v>12809.580000000002</v>
      </c>
      <c r="O269">
        <f>Table1[[#This Row],[Total Price]]-Table1[[#This Row],[Discount Amount]]</f>
        <v>78687.42</v>
      </c>
    </row>
    <row r="270" spans="1:15" x14ac:dyDescent="0.3">
      <c r="A270" t="s">
        <v>843</v>
      </c>
      <c r="B270" s="1">
        <v>45149</v>
      </c>
      <c r="C270" t="s">
        <v>844</v>
      </c>
      <c r="D270" t="s">
        <v>19</v>
      </c>
      <c r="E270">
        <v>3</v>
      </c>
      <c r="F270">
        <v>29139</v>
      </c>
      <c r="G270" s="9">
        <v>0.02</v>
      </c>
      <c r="H270" t="s">
        <v>13</v>
      </c>
      <c r="I270" t="s">
        <v>845</v>
      </c>
      <c r="J270" s="13" t="s">
        <v>37</v>
      </c>
      <c r="K270">
        <v>7</v>
      </c>
      <c r="L270" t="s">
        <v>22</v>
      </c>
      <c r="M270">
        <f>Table1[[#This Row],[UnitPrice]]*Table1[[#This Row],[Quantity]]</f>
        <v>87417</v>
      </c>
      <c r="N270">
        <f>Table1[[#This Row],[Total Price]]*Table1[[#This Row],[Discount]]</f>
        <v>1748.3400000000001</v>
      </c>
      <c r="O270">
        <f>Table1[[#This Row],[Total Price]]-Table1[[#This Row],[Discount Amount]]</f>
        <v>85668.66</v>
      </c>
    </row>
    <row r="271" spans="1:15" x14ac:dyDescent="0.3">
      <c r="A271" t="s">
        <v>846</v>
      </c>
      <c r="B271" s="1">
        <v>45255</v>
      </c>
      <c r="C271" t="s">
        <v>847</v>
      </c>
      <c r="D271" t="s">
        <v>25</v>
      </c>
      <c r="E271">
        <v>2</v>
      </c>
      <c r="F271">
        <v>6862</v>
      </c>
      <c r="G271" s="9">
        <v>0.31</v>
      </c>
      <c r="H271" t="s">
        <v>26</v>
      </c>
      <c r="I271" t="s">
        <v>848</v>
      </c>
      <c r="J271" s="14" t="s">
        <v>73</v>
      </c>
      <c r="K271">
        <v>7</v>
      </c>
      <c r="L271" t="s">
        <v>60</v>
      </c>
      <c r="M271">
        <f>Table1[[#This Row],[UnitPrice]]*Table1[[#This Row],[Quantity]]</f>
        <v>13724</v>
      </c>
      <c r="N271">
        <f>Table1[[#This Row],[Total Price]]*Table1[[#This Row],[Discount]]</f>
        <v>4254.4399999999996</v>
      </c>
      <c r="O271">
        <f>Table1[[#This Row],[Total Price]]-Table1[[#This Row],[Discount Amount]]</f>
        <v>9469.5600000000013</v>
      </c>
    </row>
    <row r="272" spans="1:15" x14ac:dyDescent="0.3">
      <c r="A272" t="s">
        <v>849</v>
      </c>
      <c r="B272" s="1">
        <v>45081</v>
      </c>
      <c r="C272" t="s">
        <v>850</v>
      </c>
      <c r="D272" t="s">
        <v>36</v>
      </c>
      <c r="E272">
        <v>2</v>
      </c>
      <c r="F272">
        <v>7585</v>
      </c>
      <c r="G272" s="9">
        <v>0.03</v>
      </c>
      <c r="H272" t="s">
        <v>13</v>
      </c>
      <c r="I272" t="s">
        <v>851</v>
      </c>
      <c r="J272" s="13" t="s">
        <v>14</v>
      </c>
      <c r="K272">
        <v>5</v>
      </c>
      <c r="L272" t="s">
        <v>60</v>
      </c>
      <c r="M272">
        <f>Table1[[#This Row],[UnitPrice]]*Table1[[#This Row],[Quantity]]</f>
        <v>15170</v>
      </c>
      <c r="N272">
        <f>Table1[[#This Row],[Total Price]]*Table1[[#This Row],[Discount]]</f>
        <v>455.09999999999997</v>
      </c>
      <c r="O272">
        <f>Table1[[#This Row],[Total Price]]-Table1[[#This Row],[Discount Amount]]</f>
        <v>14714.9</v>
      </c>
    </row>
    <row r="273" spans="1:15" x14ac:dyDescent="0.3">
      <c r="A273" t="s">
        <v>852</v>
      </c>
      <c r="B273" s="1">
        <v>45013</v>
      </c>
      <c r="C273" t="s">
        <v>853</v>
      </c>
      <c r="D273" t="s">
        <v>12</v>
      </c>
      <c r="E273">
        <v>1</v>
      </c>
      <c r="F273">
        <v>4305</v>
      </c>
      <c r="G273" s="9">
        <v>0.25</v>
      </c>
      <c r="H273" t="s">
        <v>50</v>
      </c>
      <c r="I273" t="s">
        <v>854</v>
      </c>
      <c r="J273" s="14" t="s">
        <v>14</v>
      </c>
      <c r="K273">
        <v>6</v>
      </c>
      <c r="L273" t="s">
        <v>22</v>
      </c>
      <c r="M273">
        <f>Table1[[#This Row],[UnitPrice]]*Table1[[#This Row],[Quantity]]</f>
        <v>4305</v>
      </c>
      <c r="N273">
        <f>Table1[[#This Row],[Total Price]]*Table1[[#This Row],[Discount]]</f>
        <v>1076.25</v>
      </c>
      <c r="O273">
        <f>Table1[[#This Row],[Total Price]]-Table1[[#This Row],[Discount Amount]]</f>
        <v>3228.75</v>
      </c>
    </row>
    <row r="274" spans="1:15" x14ac:dyDescent="0.3">
      <c r="A274" t="s">
        <v>855</v>
      </c>
      <c r="B274" s="1">
        <v>45188</v>
      </c>
      <c r="C274" t="s">
        <v>856</v>
      </c>
      <c r="D274" t="s">
        <v>31</v>
      </c>
      <c r="E274">
        <v>1</v>
      </c>
      <c r="F274">
        <v>22352</v>
      </c>
      <c r="G274" s="9">
        <v>0.19</v>
      </c>
      <c r="H274" t="s">
        <v>20</v>
      </c>
      <c r="I274" t="s">
        <v>857</v>
      </c>
      <c r="J274" s="13" t="s">
        <v>73</v>
      </c>
      <c r="K274">
        <v>6</v>
      </c>
      <c r="L274" t="s">
        <v>16</v>
      </c>
      <c r="M274">
        <f>Table1[[#This Row],[UnitPrice]]*Table1[[#This Row],[Quantity]]</f>
        <v>22352</v>
      </c>
      <c r="N274">
        <f>Table1[[#This Row],[Total Price]]*Table1[[#This Row],[Discount]]</f>
        <v>4246.88</v>
      </c>
      <c r="O274">
        <f>Table1[[#This Row],[Total Price]]-Table1[[#This Row],[Discount Amount]]</f>
        <v>18105.12</v>
      </c>
    </row>
    <row r="275" spans="1:15" x14ac:dyDescent="0.3">
      <c r="A275" t="s">
        <v>858</v>
      </c>
      <c r="B275" s="1">
        <v>45592</v>
      </c>
      <c r="C275" t="s">
        <v>859</v>
      </c>
      <c r="D275" t="s">
        <v>25</v>
      </c>
      <c r="E275">
        <v>1</v>
      </c>
      <c r="F275">
        <v>2310</v>
      </c>
      <c r="G275" s="9">
        <v>0.24</v>
      </c>
      <c r="H275" t="s">
        <v>20</v>
      </c>
      <c r="I275" t="s">
        <v>860</v>
      </c>
      <c r="J275" s="14" t="s">
        <v>73</v>
      </c>
      <c r="K275">
        <v>7</v>
      </c>
      <c r="L275" t="s">
        <v>28</v>
      </c>
      <c r="M275">
        <f>Table1[[#This Row],[UnitPrice]]*Table1[[#This Row],[Quantity]]</f>
        <v>2310</v>
      </c>
      <c r="N275">
        <f>Table1[[#This Row],[Total Price]]*Table1[[#This Row],[Discount]]</f>
        <v>554.4</v>
      </c>
      <c r="O275">
        <f>Table1[[#This Row],[Total Price]]-Table1[[#This Row],[Discount Amount]]</f>
        <v>1755.6</v>
      </c>
    </row>
    <row r="276" spans="1:15" x14ac:dyDescent="0.3">
      <c r="A276" t="s">
        <v>861</v>
      </c>
      <c r="B276" s="1">
        <v>44961</v>
      </c>
      <c r="C276" t="s">
        <v>862</v>
      </c>
      <c r="D276" t="s">
        <v>19</v>
      </c>
      <c r="E276">
        <v>1</v>
      </c>
      <c r="F276">
        <v>15044</v>
      </c>
      <c r="G276" s="9">
        <v>0.08</v>
      </c>
      <c r="H276" t="s">
        <v>45</v>
      </c>
      <c r="I276" t="s">
        <v>863</v>
      </c>
      <c r="J276" s="13" t="s">
        <v>37</v>
      </c>
      <c r="K276">
        <v>5</v>
      </c>
      <c r="L276" t="s">
        <v>22</v>
      </c>
      <c r="M276">
        <f>Table1[[#This Row],[UnitPrice]]*Table1[[#This Row],[Quantity]]</f>
        <v>15044</v>
      </c>
      <c r="N276">
        <f>Table1[[#This Row],[Total Price]]*Table1[[#This Row],[Discount]]</f>
        <v>1203.52</v>
      </c>
      <c r="O276">
        <f>Table1[[#This Row],[Total Price]]-Table1[[#This Row],[Discount Amount]]</f>
        <v>13840.48</v>
      </c>
    </row>
    <row r="277" spans="1:15" x14ac:dyDescent="0.3">
      <c r="A277" t="s">
        <v>864</v>
      </c>
      <c r="B277" s="1">
        <v>45234</v>
      </c>
      <c r="C277" t="s">
        <v>865</v>
      </c>
      <c r="D277" t="s">
        <v>31</v>
      </c>
      <c r="E277">
        <v>2</v>
      </c>
      <c r="F277">
        <v>16995</v>
      </c>
      <c r="G277" s="9">
        <v>0.05</v>
      </c>
      <c r="H277" t="s">
        <v>26</v>
      </c>
      <c r="I277" t="s">
        <v>866</v>
      </c>
      <c r="J277" s="14" t="s">
        <v>37</v>
      </c>
      <c r="K277">
        <v>4</v>
      </c>
      <c r="L277" t="s">
        <v>60</v>
      </c>
      <c r="M277">
        <f>Table1[[#This Row],[UnitPrice]]*Table1[[#This Row],[Quantity]]</f>
        <v>33990</v>
      </c>
      <c r="N277">
        <f>Table1[[#This Row],[Total Price]]*Table1[[#This Row],[Discount]]</f>
        <v>1699.5</v>
      </c>
      <c r="O277">
        <f>Table1[[#This Row],[Total Price]]-Table1[[#This Row],[Discount Amount]]</f>
        <v>32290.5</v>
      </c>
    </row>
    <row r="278" spans="1:15" x14ac:dyDescent="0.3">
      <c r="A278" t="s">
        <v>867</v>
      </c>
      <c r="B278" s="1">
        <v>45745</v>
      </c>
      <c r="C278" t="s">
        <v>868</v>
      </c>
      <c r="D278" t="s">
        <v>36</v>
      </c>
      <c r="E278">
        <v>2</v>
      </c>
      <c r="F278">
        <v>5292</v>
      </c>
      <c r="G278" s="9">
        <v>0.37</v>
      </c>
      <c r="H278" t="s">
        <v>13</v>
      </c>
      <c r="I278" t="s">
        <v>869</v>
      </c>
      <c r="J278" s="13" t="s">
        <v>37</v>
      </c>
      <c r="K278">
        <v>3</v>
      </c>
      <c r="L278" t="s">
        <v>16</v>
      </c>
      <c r="M278">
        <f>Table1[[#This Row],[UnitPrice]]*Table1[[#This Row],[Quantity]]</f>
        <v>10584</v>
      </c>
      <c r="N278">
        <f>Table1[[#This Row],[Total Price]]*Table1[[#This Row],[Discount]]</f>
        <v>3916.08</v>
      </c>
      <c r="O278">
        <f>Table1[[#This Row],[Total Price]]-Table1[[#This Row],[Discount Amount]]</f>
        <v>6667.92</v>
      </c>
    </row>
    <row r="279" spans="1:15" x14ac:dyDescent="0.3">
      <c r="A279" t="s">
        <v>870</v>
      </c>
      <c r="B279" s="1">
        <v>45544</v>
      </c>
      <c r="C279" t="s">
        <v>871</v>
      </c>
      <c r="D279" t="s">
        <v>31</v>
      </c>
      <c r="E279">
        <v>1</v>
      </c>
      <c r="F279">
        <v>20681</v>
      </c>
      <c r="G279" s="9">
        <v>0.12</v>
      </c>
      <c r="H279" t="s">
        <v>26</v>
      </c>
      <c r="I279" t="s">
        <v>872</v>
      </c>
      <c r="J279" s="14" t="s">
        <v>37</v>
      </c>
      <c r="K279">
        <v>9</v>
      </c>
      <c r="L279" t="s">
        <v>33</v>
      </c>
      <c r="M279">
        <f>Table1[[#This Row],[UnitPrice]]*Table1[[#This Row],[Quantity]]</f>
        <v>20681</v>
      </c>
      <c r="N279">
        <f>Table1[[#This Row],[Total Price]]*Table1[[#This Row],[Discount]]</f>
        <v>2481.7199999999998</v>
      </c>
      <c r="O279">
        <f>Table1[[#This Row],[Total Price]]-Table1[[#This Row],[Discount Amount]]</f>
        <v>18199.28</v>
      </c>
    </row>
    <row r="280" spans="1:15" x14ac:dyDescent="0.3">
      <c r="A280" t="s">
        <v>873</v>
      </c>
      <c r="B280" s="1">
        <v>45614</v>
      </c>
      <c r="C280" t="s">
        <v>874</v>
      </c>
      <c r="D280" t="s">
        <v>44</v>
      </c>
      <c r="E280">
        <v>1</v>
      </c>
      <c r="F280">
        <v>61439</v>
      </c>
      <c r="G280" s="9">
        <v>0.4</v>
      </c>
      <c r="H280" t="s">
        <v>50</v>
      </c>
      <c r="I280" t="s">
        <v>875</v>
      </c>
      <c r="J280" s="13" t="s">
        <v>37</v>
      </c>
      <c r="K280">
        <v>6</v>
      </c>
      <c r="L280" t="s">
        <v>16</v>
      </c>
      <c r="M280">
        <f>Table1[[#This Row],[UnitPrice]]*Table1[[#This Row],[Quantity]]</f>
        <v>61439</v>
      </c>
      <c r="N280">
        <f>Table1[[#This Row],[Total Price]]*Table1[[#This Row],[Discount]]</f>
        <v>24575.600000000002</v>
      </c>
      <c r="O280">
        <f>Table1[[#This Row],[Total Price]]-Table1[[#This Row],[Discount Amount]]</f>
        <v>36863.399999999994</v>
      </c>
    </row>
    <row r="281" spans="1:15" x14ac:dyDescent="0.3">
      <c r="A281" t="s">
        <v>876</v>
      </c>
      <c r="B281" s="1">
        <v>45219</v>
      </c>
      <c r="C281" t="s">
        <v>877</v>
      </c>
      <c r="D281" t="s">
        <v>31</v>
      </c>
      <c r="E281">
        <v>3</v>
      </c>
      <c r="F281">
        <v>16202</v>
      </c>
      <c r="G281" s="9">
        <v>0.38</v>
      </c>
      <c r="H281" t="s">
        <v>20</v>
      </c>
      <c r="I281" t="s">
        <v>878</v>
      </c>
      <c r="J281" s="14" t="s">
        <v>73</v>
      </c>
      <c r="K281">
        <v>7</v>
      </c>
      <c r="L281" t="s">
        <v>28</v>
      </c>
      <c r="M281">
        <f>Table1[[#This Row],[UnitPrice]]*Table1[[#This Row],[Quantity]]</f>
        <v>48606</v>
      </c>
      <c r="N281">
        <f>Table1[[#This Row],[Total Price]]*Table1[[#This Row],[Discount]]</f>
        <v>18470.28</v>
      </c>
      <c r="O281">
        <f>Table1[[#This Row],[Total Price]]-Table1[[#This Row],[Discount Amount]]</f>
        <v>30135.72</v>
      </c>
    </row>
    <row r="282" spans="1:15" x14ac:dyDescent="0.3">
      <c r="A282" t="s">
        <v>879</v>
      </c>
      <c r="B282" s="1">
        <v>45012</v>
      </c>
      <c r="C282" t="s">
        <v>880</v>
      </c>
      <c r="D282" t="s">
        <v>25</v>
      </c>
      <c r="E282">
        <v>3</v>
      </c>
      <c r="F282">
        <v>16736</v>
      </c>
      <c r="G282" s="9">
        <v>0.1</v>
      </c>
      <c r="H282" t="s">
        <v>45</v>
      </c>
      <c r="I282" t="s">
        <v>881</v>
      </c>
      <c r="J282" s="13" t="s">
        <v>37</v>
      </c>
      <c r="K282">
        <v>6</v>
      </c>
      <c r="L282" t="s">
        <v>16</v>
      </c>
      <c r="M282">
        <f>Table1[[#This Row],[UnitPrice]]*Table1[[#This Row],[Quantity]]</f>
        <v>50208</v>
      </c>
      <c r="N282">
        <f>Table1[[#This Row],[Total Price]]*Table1[[#This Row],[Discount]]</f>
        <v>5020.8</v>
      </c>
      <c r="O282">
        <f>Table1[[#This Row],[Total Price]]-Table1[[#This Row],[Discount Amount]]</f>
        <v>45187.199999999997</v>
      </c>
    </row>
    <row r="283" spans="1:15" x14ac:dyDescent="0.3">
      <c r="A283" t="s">
        <v>882</v>
      </c>
      <c r="B283" s="1">
        <v>45134</v>
      </c>
      <c r="C283" t="s">
        <v>883</v>
      </c>
      <c r="D283" t="s">
        <v>58</v>
      </c>
      <c r="E283">
        <v>3</v>
      </c>
      <c r="F283">
        <v>4221</v>
      </c>
      <c r="G283" s="9">
        <v>0.45</v>
      </c>
      <c r="H283" t="s">
        <v>50</v>
      </c>
      <c r="I283" t="s">
        <v>884</v>
      </c>
      <c r="J283" s="14" t="s">
        <v>73</v>
      </c>
      <c r="K283">
        <v>9</v>
      </c>
      <c r="L283" t="s">
        <v>22</v>
      </c>
      <c r="M283">
        <f>Table1[[#This Row],[UnitPrice]]*Table1[[#This Row],[Quantity]]</f>
        <v>12663</v>
      </c>
      <c r="N283">
        <f>Table1[[#This Row],[Total Price]]*Table1[[#This Row],[Discount]]</f>
        <v>5698.35</v>
      </c>
      <c r="O283">
        <f>Table1[[#This Row],[Total Price]]-Table1[[#This Row],[Discount Amount]]</f>
        <v>6964.65</v>
      </c>
    </row>
    <row r="284" spans="1:15" x14ac:dyDescent="0.3">
      <c r="A284" t="s">
        <v>885</v>
      </c>
      <c r="B284" s="1">
        <v>45769</v>
      </c>
      <c r="C284" t="s">
        <v>886</v>
      </c>
      <c r="D284" t="s">
        <v>36</v>
      </c>
      <c r="E284">
        <v>3</v>
      </c>
      <c r="F284">
        <v>9714</v>
      </c>
      <c r="G284" s="9">
        <v>0.08</v>
      </c>
      <c r="H284" t="s">
        <v>45</v>
      </c>
      <c r="I284" t="s">
        <v>887</v>
      </c>
      <c r="J284" s="13" t="s">
        <v>73</v>
      </c>
      <c r="K284">
        <v>9</v>
      </c>
      <c r="L284" t="s">
        <v>60</v>
      </c>
      <c r="M284">
        <f>Table1[[#This Row],[UnitPrice]]*Table1[[#This Row],[Quantity]]</f>
        <v>29142</v>
      </c>
      <c r="N284">
        <f>Table1[[#This Row],[Total Price]]*Table1[[#This Row],[Discount]]</f>
        <v>2331.36</v>
      </c>
      <c r="O284">
        <f>Table1[[#This Row],[Total Price]]-Table1[[#This Row],[Discount Amount]]</f>
        <v>26810.639999999999</v>
      </c>
    </row>
    <row r="285" spans="1:15" x14ac:dyDescent="0.3">
      <c r="A285" t="s">
        <v>888</v>
      </c>
      <c r="B285" s="1">
        <v>45716</v>
      </c>
      <c r="C285" t="s">
        <v>889</v>
      </c>
      <c r="D285" t="s">
        <v>44</v>
      </c>
      <c r="E285">
        <v>1</v>
      </c>
      <c r="F285">
        <v>71592</v>
      </c>
      <c r="G285" s="9">
        <v>0.4</v>
      </c>
      <c r="H285" t="s">
        <v>50</v>
      </c>
      <c r="I285" t="s">
        <v>890</v>
      </c>
      <c r="J285" s="14" t="s">
        <v>14</v>
      </c>
      <c r="K285">
        <v>6</v>
      </c>
      <c r="L285" t="s">
        <v>60</v>
      </c>
      <c r="M285">
        <f>Table1[[#This Row],[UnitPrice]]*Table1[[#This Row],[Quantity]]</f>
        <v>71592</v>
      </c>
      <c r="N285">
        <f>Table1[[#This Row],[Total Price]]*Table1[[#This Row],[Discount]]</f>
        <v>28636.800000000003</v>
      </c>
      <c r="O285">
        <f>Table1[[#This Row],[Total Price]]-Table1[[#This Row],[Discount Amount]]</f>
        <v>42955.199999999997</v>
      </c>
    </row>
    <row r="286" spans="1:15" x14ac:dyDescent="0.3">
      <c r="A286" t="s">
        <v>891</v>
      </c>
      <c r="B286" s="1">
        <v>44973</v>
      </c>
      <c r="C286" t="s">
        <v>892</v>
      </c>
      <c r="D286" t="s">
        <v>44</v>
      </c>
      <c r="E286">
        <v>1</v>
      </c>
      <c r="F286">
        <v>37061</v>
      </c>
      <c r="G286" s="9">
        <v>0.21</v>
      </c>
      <c r="H286" t="s">
        <v>26</v>
      </c>
      <c r="I286" t="s">
        <v>893</v>
      </c>
      <c r="J286" s="13" t="s">
        <v>14</v>
      </c>
      <c r="K286">
        <v>6</v>
      </c>
      <c r="L286" t="s">
        <v>33</v>
      </c>
      <c r="M286">
        <f>Table1[[#This Row],[UnitPrice]]*Table1[[#This Row],[Quantity]]</f>
        <v>37061</v>
      </c>
      <c r="N286">
        <f>Table1[[#This Row],[Total Price]]*Table1[[#This Row],[Discount]]</f>
        <v>7782.8099999999995</v>
      </c>
      <c r="O286">
        <f>Table1[[#This Row],[Total Price]]-Table1[[#This Row],[Discount Amount]]</f>
        <v>29278.190000000002</v>
      </c>
    </row>
    <row r="287" spans="1:15" x14ac:dyDescent="0.3">
      <c r="A287" t="s">
        <v>894</v>
      </c>
      <c r="B287" s="1">
        <v>45818</v>
      </c>
      <c r="C287" t="s">
        <v>895</v>
      </c>
      <c r="D287" t="s">
        <v>19</v>
      </c>
      <c r="E287">
        <v>2</v>
      </c>
      <c r="F287">
        <v>29457</v>
      </c>
      <c r="G287" s="9">
        <v>0.09</v>
      </c>
      <c r="H287" t="s">
        <v>20</v>
      </c>
      <c r="I287" t="s">
        <v>896</v>
      </c>
      <c r="J287" s="14" t="s">
        <v>37</v>
      </c>
      <c r="K287">
        <v>3</v>
      </c>
      <c r="L287" t="s">
        <v>60</v>
      </c>
      <c r="M287">
        <f>Table1[[#This Row],[UnitPrice]]*Table1[[#This Row],[Quantity]]</f>
        <v>58914</v>
      </c>
      <c r="N287">
        <f>Table1[[#This Row],[Total Price]]*Table1[[#This Row],[Discount]]</f>
        <v>5302.26</v>
      </c>
      <c r="O287">
        <f>Table1[[#This Row],[Total Price]]-Table1[[#This Row],[Discount Amount]]</f>
        <v>53611.74</v>
      </c>
    </row>
    <row r="288" spans="1:15" x14ac:dyDescent="0.3">
      <c r="A288" t="s">
        <v>897</v>
      </c>
      <c r="B288" s="1">
        <v>45754</v>
      </c>
      <c r="C288" t="s">
        <v>898</v>
      </c>
      <c r="D288" t="s">
        <v>12</v>
      </c>
      <c r="E288">
        <v>1</v>
      </c>
      <c r="F288">
        <v>3151</v>
      </c>
      <c r="G288" s="9">
        <v>0.47</v>
      </c>
      <c r="H288" t="s">
        <v>45</v>
      </c>
      <c r="I288" t="s">
        <v>899</v>
      </c>
      <c r="J288" s="13" t="s">
        <v>73</v>
      </c>
      <c r="K288">
        <v>8</v>
      </c>
      <c r="L288" t="s">
        <v>60</v>
      </c>
      <c r="M288">
        <f>Table1[[#This Row],[UnitPrice]]*Table1[[#This Row],[Quantity]]</f>
        <v>3151</v>
      </c>
      <c r="N288">
        <f>Table1[[#This Row],[Total Price]]*Table1[[#This Row],[Discount]]</f>
        <v>1480.97</v>
      </c>
      <c r="O288">
        <f>Table1[[#This Row],[Total Price]]-Table1[[#This Row],[Discount Amount]]</f>
        <v>1670.03</v>
      </c>
    </row>
    <row r="289" spans="1:15" x14ac:dyDescent="0.3">
      <c r="A289" t="s">
        <v>900</v>
      </c>
      <c r="B289" s="1">
        <v>45254</v>
      </c>
      <c r="C289" t="s">
        <v>901</v>
      </c>
      <c r="D289" t="s">
        <v>31</v>
      </c>
      <c r="E289">
        <v>1</v>
      </c>
      <c r="F289">
        <v>35700</v>
      </c>
      <c r="G289" s="9">
        <v>0.48</v>
      </c>
      <c r="H289" t="s">
        <v>20</v>
      </c>
      <c r="I289" t="s">
        <v>902</v>
      </c>
      <c r="J289" s="14" t="s">
        <v>14</v>
      </c>
      <c r="K289">
        <v>5</v>
      </c>
      <c r="L289" t="s">
        <v>33</v>
      </c>
      <c r="M289">
        <f>Table1[[#This Row],[UnitPrice]]*Table1[[#This Row],[Quantity]]</f>
        <v>35700</v>
      </c>
      <c r="N289">
        <f>Table1[[#This Row],[Total Price]]*Table1[[#This Row],[Discount]]</f>
        <v>17136</v>
      </c>
      <c r="O289">
        <f>Table1[[#This Row],[Total Price]]-Table1[[#This Row],[Discount Amount]]</f>
        <v>18564</v>
      </c>
    </row>
    <row r="290" spans="1:15" x14ac:dyDescent="0.3">
      <c r="A290" t="s">
        <v>903</v>
      </c>
      <c r="B290" s="1">
        <v>44997</v>
      </c>
      <c r="C290" t="s">
        <v>904</v>
      </c>
      <c r="D290" t="s">
        <v>44</v>
      </c>
      <c r="E290">
        <v>3</v>
      </c>
      <c r="F290">
        <v>61620</v>
      </c>
      <c r="G290" s="9">
        <v>0.26</v>
      </c>
      <c r="H290" t="s">
        <v>13</v>
      </c>
      <c r="I290" t="s">
        <v>905</v>
      </c>
      <c r="J290" s="13" t="s">
        <v>73</v>
      </c>
      <c r="K290">
        <v>8</v>
      </c>
      <c r="L290" t="s">
        <v>60</v>
      </c>
      <c r="M290">
        <f>Table1[[#This Row],[UnitPrice]]*Table1[[#This Row],[Quantity]]</f>
        <v>184860</v>
      </c>
      <c r="N290">
        <f>Table1[[#This Row],[Total Price]]*Table1[[#This Row],[Discount]]</f>
        <v>48063.6</v>
      </c>
      <c r="O290">
        <f>Table1[[#This Row],[Total Price]]-Table1[[#This Row],[Discount Amount]]</f>
        <v>136796.4</v>
      </c>
    </row>
    <row r="291" spans="1:15" x14ac:dyDescent="0.3">
      <c r="A291" t="s">
        <v>906</v>
      </c>
      <c r="B291" s="1">
        <v>45133</v>
      </c>
      <c r="C291" t="s">
        <v>907</v>
      </c>
      <c r="D291" t="s">
        <v>31</v>
      </c>
      <c r="E291">
        <v>2</v>
      </c>
      <c r="F291">
        <v>43314</v>
      </c>
      <c r="G291" s="9">
        <v>0.23</v>
      </c>
      <c r="H291" t="s">
        <v>26</v>
      </c>
      <c r="I291" t="s">
        <v>908</v>
      </c>
      <c r="J291" s="14" t="s">
        <v>14</v>
      </c>
      <c r="K291">
        <v>8</v>
      </c>
      <c r="L291" t="s">
        <v>22</v>
      </c>
      <c r="M291">
        <f>Table1[[#This Row],[UnitPrice]]*Table1[[#This Row],[Quantity]]</f>
        <v>86628</v>
      </c>
      <c r="N291">
        <f>Table1[[#This Row],[Total Price]]*Table1[[#This Row],[Discount]]</f>
        <v>19924.440000000002</v>
      </c>
      <c r="O291">
        <f>Table1[[#This Row],[Total Price]]-Table1[[#This Row],[Discount Amount]]</f>
        <v>66703.56</v>
      </c>
    </row>
    <row r="292" spans="1:15" x14ac:dyDescent="0.3">
      <c r="A292" t="s">
        <v>909</v>
      </c>
      <c r="B292" s="1">
        <v>45051</v>
      </c>
      <c r="C292" t="s">
        <v>910</v>
      </c>
      <c r="D292" t="s">
        <v>31</v>
      </c>
      <c r="E292">
        <v>2</v>
      </c>
      <c r="F292">
        <v>37625</v>
      </c>
      <c r="G292" s="9">
        <v>0.45</v>
      </c>
      <c r="H292" t="s">
        <v>50</v>
      </c>
      <c r="I292" t="s">
        <v>911</v>
      </c>
      <c r="J292" s="13" t="s">
        <v>37</v>
      </c>
      <c r="K292">
        <v>8</v>
      </c>
      <c r="L292" t="s">
        <v>33</v>
      </c>
      <c r="M292">
        <f>Table1[[#This Row],[UnitPrice]]*Table1[[#This Row],[Quantity]]</f>
        <v>75250</v>
      </c>
      <c r="N292">
        <f>Table1[[#This Row],[Total Price]]*Table1[[#This Row],[Discount]]</f>
        <v>33862.5</v>
      </c>
      <c r="O292">
        <f>Table1[[#This Row],[Total Price]]-Table1[[#This Row],[Discount Amount]]</f>
        <v>41387.5</v>
      </c>
    </row>
    <row r="293" spans="1:15" x14ac:dyDescent="0.3">
      <c r="A293" t="s">
        <v>912</v>
      </c>
      <c r="B293" s="1">
        <v>45424</v>
      </c>
      <c r="C293" t="s">
        <v>913</v>
      </c>
      <c r="D293" t="s">
        <v>19</v>
      </c>
      <c r="E293">
        <v>3</v>
      </c>
      <c r="F293">
        <v>48016</v>
      </c>
      <c r="G293" s="9">
        <v>0.3</v>
      </c>
      <c r="H293" t="s">
        <v>26</v>
      </c>
      <c r="I293" t="s">
        <v>914</v>
      </c>
      <c r="J293" s="14" t="s">
        <v>37</v>
      </c>
      <c r="K293">
        <v>6</v>
      </c>
      <c r="L293" t="s">
        <v>60</v>
      </c>
      <c r="M293">
        <f>Table1[[#This Row],[UnitPrice]]*Table1[[#This Row],[Quantity]]</f>
        <v>144048</v>
      </c>
      <c r="N293">
        <f>Table1[[#This Row],[Total Price]]*Table1[[#This Row],[Discount]]</f>
        <v>43214.400000000001</v>
      </c>
      <c r="O293">
        <f>Table1[[#This Row],[Total Price]]-Table1[[#This Row],[Discount Amount]]</f>
        <v>100833.60000000001</v>
      </c>
    </row>
    <row r="294" spans="1:15" x14ac:dyDescent="0.3">
      <c r="A294" t="s">
        <v>915</v>
      </c>
      <c r="B294" s="1">
        <v>45672</v>
      </c>
      <c r="C294" t="s">
        <v>916</v>
      </c>
      <c r="D294" t="s">
        <v>12</v>
      </c>
      <c r="E294">
        <v>3</v>
      </c>
      <c r="F294">
        <v>8866</v>
      </c>
      <c r="G294" s="9">
        <v>0.13</v>
      </c>
      <c r="H294" t="s">
        <v>26</v>
      </c>
      <c r="I294" t="s">
        <v>917</v>
      </c>
      <c r="J294" s="13" t="s">
        <v>37</v>
      </c>
      <c r="K294">
        <v>5</v>
      </c>
      <c r="L294" t="s">
        <v>33</v>
      </c>
      <c r="M294">
        <f>Table1[[#This Row],[UnitPrice]]*Table1[[#This Row],[Quantity]]</f>
        <v>26598</v>
      </c>
      <c r="N294">
        <f>Table1[[#This Row],[Total Price]]*Table1[[#This Row],[Discount]]</f>
        <v>3457.7400000000002</v>
      </c>
      <c r="O294">
        <f>Table1[[#This Row],[Total Price]]-Table1[[#This Row],[Discount Amount]]</f>
        <v>23140.26</v>
      </c>
    </row>
    <row r="295" spans="1:15" x14ac:dyDescent="0.3">
      <c r="A295" t="s">
        <v>918</v>
      </c>
      <c r="B295" s="1">
        <v>44973</v>
      </c>
      <c r="C295" t="s">
        <v>919</v>
      </c>
      <c r="D295" t="s">
        <v>25</v>
      </c>
      <c r="E295">
        <v>2</v>
      </c>
      <c r="F295">
        <v>19505</v>
      </c>
      <c r="G295" s="9">
        <v>0.21</v>
      </c>
      <c r="H295" t="s">
        <v>45</v>
      </c>
      <c r="I295" t="s">
        <v>920</v>
      </c>
      <c r="J295" s="14" t="s">
        <v>37</v>
      </c>
      <c r="K295">
        <v>9</v>
      </c>
      <c r="L295" t="s">
        <v>16</v>
      </c>
      <c r="M295">
        <f>Table1[[#This Row],[UnitPrice]]*Table1[[#This Row],[Quantity]]</f>
        <v>39010</v>
      </c>
      <c r="N295">
        <f>Table1[[#This Row],[Total Price]]*Table1[[#This Row],[Discount]]</f>
        <v>8192.1</v>
      </c>
      <c r="O295">
        <f>Table1[[#This Row],[Total Price]]-Table1[[#This Row],[Discount Amount]]</f>
        <v>30817.9</v>
      </c>
    </row>
    <row r="296" spans="1:15" x14ac:dyDescent="0.3">
      <c r="A296" t="s">
        <v>921</v>
      </c>
      <c r="B296" s="1">
        <v>45748</v>
      </c>
      <c r="C296" t="s">
        <v>922</v>
      </c>
      <c r="D296" t="s">
        <v>19</v>
      </c>
      <c r="E296">
        <v>2</v>
      </c>
      <c r="F296">
        <v>28967</v>
      </c>
      <c r="G296" s="9">
        <v>0.42</v>
      </c>
      <c r="H296" t="s">
        <v>20</v>
      </c>
      <c r="I296" t="s">
        <v>923</v>
      </c>
      <c r="J296" s="13" t="s">
        <v>14</v>
      </c>
      <c r="K296">
        <v>7</v>
      </c>
      <c r="L296" t="s">
        <v>22</v>
      </c>
      <c r="M296">
        <f>Table1[[#This Row],[UnitPrice]]*Table1[[#This Row],[Quantity]]</f>
        <v>57934</v>
      </c>
      <c r="N296">
        <f>Table1[[#This Row],[Total Price]]*Table1[[#This Row],[Discount]]</f>
        <v>24332.28</v>
      </c>
      <c r="O296">
        <f>Table1[[#This Row],[Total Price]]-Table1[[#This Row],[Discount Amount]]</f>
        <v>33601.72</v>
      </c>
    </row>
    <row r="297" spans="1:15" x14ac:dyDescent="0.3">
      <c r="A297" t="s">
        <v>924</v>
      </c>
      <c r="B297" s="1">
        <v>44951</v>
      </c>
      <c r="C297" t="s">
        <v>925</v>
      </c>
      <c r="D297" t="s">
        <v>36</v>
      </c>
      <c r="E297">
        <v>1</v>
      </c>
      <c r="F297">
        <v>6048</v>
      </c>
      <c r="G297" s="9">
        <v>0.43</v>
      </c>
      <c r="H297" t="s">
        <v>13</v>
      </c>
      <c r="I297" t="s">
        <v>926</v>
      </c>
      <c r="J297" s="14" t="s">
        <v>14</v>
      </c>
      <c r="K297">
        <v>9</v>
      </c>
      <c r="L297" t="s">
        <v>28</v>
      </c>
      <c r="M297">
        <f>Table1[[#This Row],[UnitPrice]]*Table1[[#This Row],[Quantity]]</f>
        <v>6048</v>
      </c>
      <c r="N297">
        <f>Table1[[#This Row],[Total Price]]*Table1[[#This Row],[Discount]]</f>
        <v>2600.64</v>
      </c>
      <c r="O297">
        <f>Table1[[#This Row],[Total Price]]-Table1[[#This Row],[Discount Amount]]</f>
        <v>3447.36</v>
      </c>
    </row>
    <row r="298" spans="1:15" x14ac:dyDescent="0.3">
      <c r="A298" t="s">
        <v>927</v>
      </c>
      <c r="B298" s="1">
        <v>45462</v>
      </c>
      <c r="C298" t="s">
        <v>928</v>
      </c>
      <c r="D298" t="s">
        <v>58</v>
      </c>
      <c r="E298">
        <v>2</v>
      </c>
      <c r="F298">
        <v>2046</v>
      </c>
      <c r="G298" s="9">
        <v>0.47</v>
      </c>
      <c r="H298" t="s">
        <v>13</v>
      </c>
      <c r="I298" t="s">
        <v>929</v>
      </c>
      <c r="J298" s="13" t="s">
        <v>73</v>
      </c>
      <c r="K298">
        <v>10</v>
      </c>
      <c r="L298" t="s">
        <v>22</v>
      </c>
      <c r="M298">
        <f>Table1[[#This Row],[UnitPrice]]*Table1[[#This Row],[Quantity]]</f>
        <v>4092</v>
      </c>
      <c r="N298">
        <f>Table1[[#This Row],[Total Price]]*Table1[[#This Row],[Discount]]</f>
        <v>1923.2399999999998</v>
      </c>
      <c r="O298">
        <f>Table1[[#This Row],[Total Price]]-Table1[[#This Row],[Discount Amount]]</f>
        <v>2168.7600000000002</v>
      </c>
    </row>
    <row r="299" spans="1:15" x14ac:dyDescent="0.3">
      <c r="A299" t="s">
        <v>930</v>
      </c>
      <c r="B299" s="1">
        <v>44979</v>
      </c>
      <c r="C299" t="s">
        <v>931</v>
      </c>
      <c r="D299" t="s">
        <v>58</v>
      </c>
      <c r="E299">
        <v>2</v>
      </c>
      <c r="F299">
        <v>6432</v>
      </c>
      <c r="G299" s="9">
        <v>0.14000000000000001</v>
      </c>
      <c r="H299" t="s">
        <v>26</v>
      </c>
      <c r="I299" t="s">
        <v>932</v>
      </c>
      <c r="J299" s="14" t="s">
        <v>73</v>
      </c>
      <c r="K299">
        <v>7</v>
      </c>
      <c r="L299" t="s">
        <v>16</v>
      </c>
      <c r="M299">
        <f>Table1[[#This Row],[UnitPrice]]*Table1[[#This Row],[Quantity]]</f>
        <v>12864</v>
      </c>
      <c r="N299">
        <f>Table1[[#This Row],[Total Price]]*Table1[[#This Row],[Discount]]</f>
        <v>1800.9600000000003</v>
      </c>
      <c r="O299">
        <f>Table1[[#This Row],[Total Price]]-Table1[[#This Row],[Discount Amount]]</f>
        <v>11063.039999999999</v>
      </c>
    </row>
    <row r="300" spans="1:15" x14ac:dyDescent="0.3">
      <c r="A300" t="s">
        <v>933</v>
      </c>
      <c r="B300" s="1">
        <v>45279</v>
      </c>
      <c r="C300" t="s">
        <v>934</v>
      </c>
      <c r="D300" t="s">
        <v>36</v>
      </c>
      <c r="E300">
        <v>2</v>
      </c>
      <c r="F300">
        <v>5020</v>
      </c>
      <c r="G300" s="9">
        <v>0.34</v>
      </c>
      <c r="H300" t="s">
        <v>20</v>
      </c>
      <c r="I300" t="s">
        <v>935</v>
      </c>
      <c r="J300" s="13" t="s">
        <v>37</v>
      </c>
      <c r="K300">
        <v>6</v>
      </c>
      <c r="L300" t="s">
        <v>28</v>
      </c>
      <c r="M300">
        <f>Table1[[#This Row],[UnitPrice]]*Table1[[#This Row],[Quantity]]</f>
        <v>10040</v>
      </c>
      <c r="N300">
        <f>Table1[[#This Row],[Total Price]]*Table1[[#This Row],[Discount]]</f>
        <v>3413.6000000000004</v>
      </c>
      <c r="O300">
        <f>Table1[[#This Row],[Total Price]]-Table1[[#This Row],[Discount Amount]]</f>
        <v>6626.4</v>
      </c>
    </row>
    <row r="301" spans="1:15" x14ac:dyDescent="0.3">
      <c r="A301" t="s">
        <v>936</v>
      </c>
      <c r="B301" s="1">
        <v>45311</v>
      </c>
      <c r="C301" t="s">
        <v>937</v>
      </c>
      <c r="D301" t="s">
        <v>12</v>
      </c>
      <c r="E301">
        <v>1</v>
      </c>
      <c r="F301">
        <v>8447</v>
      </c>
      <c r="G301" s="9">
        <v>0.03</v>
      </c>
      <c r="H301" t="s">
        <v>45</v>
      </c>
      <c r="I301" t="s">
        <v>938</v>
      </c>
      <c r="J301" s="14" t="s">
        <v>73</v>
      </c>
      <c r="K301">
        <v>2</v>
      </c>
      <c r="L301" t="s">
        <v>16</v>
      </c>
      <c r="M301">
        <f>Table1[[#This Row],[UnitPrice]]*Table1[[#This Row],[Quantity]]</f>
        <v>8447</v>
      </c>
      <c r="N301">
        <f>Table1[[#This Row],[Total Price]]*Table1[[#This Row],[Discount]]</f>
        <v>253.41</v>
      </c>
      <c r="O301">
        <f>Table1[[#This Row],[Total Price]]-Table1[[#This Row],[Discount Amount]]</f>
        <v>8193.59</v>
      </c>
    </row>
    <row r="302" spans="1:15" x14ac:dyDescent="0.3">
      <c r="A302" t="s">
        <v>939</v>
      </c>
      <c r="B302" s="1">
        <v>45537</v>
      </c>
      <c r="C302" t="s">
        <v>940</v>
      </c>
      <c r="D302" t="s">
        <v>19</v>
      </c>
      <c r="E302">
        <v>2</v>
      </c>
      <c r="F302">
        <v>19799</v>
      </c>
      <c r="G302" s="9">
        <v>0.36</v>
      </c>
      <c r="H302" t="s">
        <v>13</v>
      </c>
      <c r="I302" t="s">
        <v>941</v>
      </c>
      <c r="J302" s="13" t="s">
        <v>37</v>
      </c>
      <c r="K302">
        <v>3</v>
      </c>
      <c r="L302" t="s">
        <v>33</v>
      </c>
      <c r="M302">
        <f>Table1[[#This Row],[UnitPrice]]*Table1[[#This Row],[Quantity]]</f>
        <v>39598</v>
      </c>
      <c r="N302">
        <f>Table1[[#This Row],[Total Price]]*Table1[[#This Row],[Discount]]</f>
        <v>14255.279999999999</v>
      </c>
      <c r="O302">
        <f>Table1[[#This Row],[Total Price]]-Table1[[#This Row],[Discount Amount]]</f>
        <v>25342.720000000001</v>
      </c>
    </row>
    <row r="303" spans="1:15" x14ac:dyDescent="0.3">
      <c r="A303" t="s">
        <v>942</v>
      </c>
      <c r="B303" s="1">
        <v>45057</v>
      </c>
      <c r="C303" t="s">
        <v>943</v>
      </c>
      <c r="D303" t="s">
        <v>31</v>
      </c>
      <c r="E303">
        <v>2</v>
      </c>
      <c r="F303">
        <v>40333</v>
      </c>
      <c r="G303" s="9">
        <v>0.28000000000000003</v>
      </c>
      <c r="H303" t="s">
        <v>50</v>
      </c>
      <c r="I303" t="s">
        <v>944</v>
      </c>
      <c r="J303" s="14" t="s">
        <v>37</v>
      </c>
      <c r="K303">
        <v>2</v>
      </c>
      <c r="L303" t="s">
        <v>28</v>
      </c>
      <c r="M303">
        <f>Table1[[#This Row],[UnitPrice]]*Table1[[#This Row],[Quantity]]</f>
        <v>80666</v>
      </c>
      <c r="N303">
        <f>Table1[[#This Row],[Total Price]]*Table1[[#This Row],[Discount]]</f>
        <v>22586.480000000003</v>
      </c>
      <c r="O303">
        <f>Table1[[#This Row],[Total Price]]-Table1[[#This Row],[Discount Amount]]</f>
        <v>58079.519999999997</v>
      </c>
    </row>
    <row r="304" spans="1:15" x14ac:dyDescent="0.3">
      <c r="A304" t="s">
        <v>945</v>
      </c>
      <c r="B304" s="1">
        <v>45062</v>
      </c>
      <c r="C304" t="s">
        <v>946</v>
      </c>
      <c r="D304" t="s">
        <v>31</v>
      </c>
      <c r="E304">
        <v>1</v>
      </c>
      <c r="F304">
        <v>26799</v>
      </c>
      <c r="G304" s="9">
        <v>0.12</v>
      </c>
      <c r="H304" t="s">
        <v>50</v>
      </c>
      <c r="I304" t="s">
        <v>947</v>
      </c>
      <c r="J304" s="13" t="s">
        <v>73</v>
      </c>
      <c r="K304">
        <v>4</v>
      </c>
      <c r="L304" t="s">
        <v>16</v>
      </c>
      <c r="M304">
        <f>Table1[[#This Row],[UnitPrice]]*Table1[[#This Row],[Quantity]]</f>
        <v>26799</v>
      </c>
      <c r="N304">
        <f>Table1[[#This Row],[Total Price]]*Table1[[#This Row],[Discount]]</f>
        <v>3215.8799999999997</v>
      </c>
      <c r="O304">
        <f>Table1[[#This Row],[Total Price]]-Table1[[#This Row],[Discount Amount]]</f>
        <v>23583.119999999999</v>
      </c>
    </row>
    <row r="305" spans="1:15" x14ac:dyDescent="0.3">
      <c r="A305" t="s">
        <v>948</v>
      </c>
      <c r="B305" s="1">
        <v>45633</v>
      </c>
      <c r="C305" t="s">
        <v>949</v>
      </c>
      <c r="D305" t="s">
        <v>25</v>
      </c>
      <c r="E305">
        <v>3</v>
      </c>
      <c r="F305">
        <v>7214</v>
      </c>
      <c r="G305" s="9">
        <v>0.33</v>
      </c>
      <c r="H305" t="s">
        <v>13</v>
      </c>
      <c r="I305" t="s">
        <v>950</v>
      </c>
      <c r="J305" s="14" t="s">
        <v>37</v>
      </c>
      <c r="K305">
        <v>1</v>
      </c>
      <c r="L305" t="s">
        <v>60</v>
      </c>
      <c r="M305">
        <f>Table1[[#This Row],[UnitPrice]]*Table1[[#This Row],[Quantity]]</f>
        <v>21642</v>
      </c>
      <c r="N305">
        <f>Table1[[#This Row],[Total Price]]*Table1[[#This Row],[Discount]]</f>
        <v>7141.8600000000006</v>
      </c>
      <c r="O305">
        <f>Table1[[#This Row],[Total Price]]-Table1[[#This Row],[Discount Amount]]</f>
        <v>14500.14</v>
      </c>
    </row>
    <row r="306" spans="1:15" x14ac:dyDescent="0.3">
      <c r="A306" t="s">
        <v>951</v>
      </c>
      <c r="B306" s="1">
        <v>45583</v>
      </c>
      <c r="C306" t="s">
        <v>952</v>
      </c>
      <c r="D306" t="s">
        <v>12</v>
      </c>
      <c r="E306">
        <v>3</v>
      </c>
      <c r="F306">
        <v>1613</v>
      </c>
      <c r="G306" s="9">
        <v>7.0000000000000007E-2</v>
      </c>
      <c r="H306" t="s">
        <v>45</v>
      </c>
      <c r="I306" t="s">
        <v>953</v>
      </c>
      <c r="J306" s="13" t="s">
        <v>37</v>
      </c>
      <c r="K306">
        <v>10</v>
      </c>
      <c r="L306" t="s">
        <v>16</v>
      </c>
      <c r="M306">
        <f>Table1[[#This Row],[UnitPrice]]*Table1[[#This Row],[Quantity]]</f>
        <v>4839</v>
      </c>
      <c r="N306">
        <f>Table1[[#This Row],[Total Price]]*Table1[[#This Row],[Discount]]</f>
        <v>338.73</v>
      </c>
      <c r="O306">
        <f>Table1[[#This Row],[Total Price]]-Table1[[#This Row],[Discount Amount]]</f>
        <v>4500.2700000000004</v>
      </c>
    </row>
    <row r="307" spans="1:15" x14ac:dyDescent="0.3">
      <c r="A307" t="s">
        <v>954</v>
      </c>
      <c r="B307" s="1">
        <v>45255</v>
      </c>
      <c r="C307" t="s">
        <v>955</v>
      </c>
      <c r="D307" t="s">
        <v>44</v>
      </c>
      <c r="E307">
        <v>3</v>
      </c>
      <c r="F307">
        <v>45322</v>
      </c>
      <c r="G307" s="9">
        <v>0.17</v>
      </c>
      <c r="H307" t="s">
        <v>50</v>
      </c>
      <c r="I307" t="s">
        <v>956</v>
      </c>
      <c r="J307" s="14" t="s">
        <v>73</v>
      </c>
      <c r="K307">
        <v>9</v>
      </c>
      <c r="L307" t="s">
        <v>16</v>
      </c>
      <c r="M307">
        <f>Table1[[#This Row],[UnitPrice]]*Table1[[#This Row],[Quantity]]</f>
        <v>135966</v>
      </c>
      <c r="N307">
        <f>Table1[[#This Row],[Total Price]]*Table1[[#This Row],[Discount]]</f>
        <v>23114.22</v>
      </c>
      <c r="O307">
        <f>Table1[[#This Row],[Total Price]]-Table1[[#This Row],[Discount Amount]]</f>
        <v>112851.78</v>
      </c>
    </row>
    <row r="308" spans="1:15" x14ac:dyDescent="0.3">
      <c r="A308" t="s">
        <v>957</v>
      </c>
      <c r="B308" s="1">
        <v>45450</v>
      </c>
      <c r="C308" t="s">
        <v>958</v>
      </c>
      <c r="D308" t="s">
        <v>36</v>
      </c>
      <c r="E308">
        <v>1</v>
      </c>
      <c r="F308">
        <v>7967</v>
      </c>
      <c r="G308" s="9">
        <v>0.2</v>
      </c>
      <c r="H308" t="s">
        <v>13</v>
      </c>
      <c r="I308" t="s">
        <v>959</v>
      </c>
      <c r="J308" s="13" t="s">
        <v>73</v>
      </c>
      <c r="K308">
        <v>3</v>
      </c>
      <c r="L308" t="s">
        <v>16</v>
      </c>
      <c r="M308">
        <f>Table1[[#This Row],[UnitPrice]]*Table1[[#This Row],[Quantity]]</f>
        <v>7967</v>
      </c>
      <c r="N308">
        <f>Table1[[#This Row],[Total Price]]*Table1[[#This Row],[Discount]]</f>
        <v>1593.4</v>
      </c>
      <c r="O308">
        <f>Table1[[#This Row],[Total Price]]-Table1[[#This Row],[Discount Amount]]</f>
        <v>6373.6</v>
      </c>
    </row>
    <row r="309" spans="1:15" x14ac:dyDescent="0.3">
      <c r="A309" t="s">
        <v>960</v>
      </c>
      <c r="B309" s="1">
        <v>45108</v>
      </c>
      <c r="C309" t="s">
        <v>961</v>
      </c>
      <c r="D309" t="s">
        <v>44</v>
      </c>
      <c r="E309">
        <v>2</v>
      </c>
      <c r="F309">
        <v>42807</v>
      </c>
      <c r="G309" s="9">
        <v>0.39</v>
      </c>
      <c r="H309" t="s">
        <v>20</v>
      </c>
      <c r="I309" t="s">
        <v>962</v>
      </c>
      <c r="J309" s="14" t="s">
        <v>37</v>
      </c>
      <c r="K309">
        <v>4</v>
      </c>
      <c r="L309" t="s">
        <v>28</v>
      </c>
      <c r="M309">
        <f>Table1[[#This Row],[UnitPrice]]*Table1[[#This Row],[Quantity]]</f>
        <v>85614</v>
      </c>
      <c r="N309">
        <f>Table1[[#This Row],[Total Price]]*Table1[[#This Row],[Discount]]</f>
        <v>33389.46</v>
      </c>
      <c r="O309">
        <f>Table1[[#This Row],[Total Price]]-Table1[[#This Row],[Discount Amount]]</f>
        <v>52224.54</v>
      </c>
    </row>
    <row r="310" spans="1:15" x14ac:dyDescent="0.3">
      <c r="A310" t="s">
        <v>963</v>
      </c>
      <c r="B310" s="1">
        <v>45271</v>
      </c>
      <c r="C310" t="s">
        <v>964</v>
      </c>
      <c r="D310" t="s">
        <v>36</v>
      </c>
      <c r="E310">
        <v>3</v>
      </c>
      <c r="F310">
        <v>6784</v>
      </c>
      <c r="G310" s="9">
        <v>0.15</v>
      </c>
      <c r="H310" t="s">
        <v>13</v>
      </c>
      <c r="I310" t="s">
        <v>965</v>
      </c>
      <c r="J310" s="13" t="s">
        <v>37</v>
      </c>
      <c r="K310">
        <v>7</v>
      </c>
      <c r="L310" t="s">
        <v>16</v>
      </c>
      <c r="M310">
        <f>Table1[[#This Row],[UnitPrice]]*Table1[[#This Row],[Quantity]]</f>
        <v>20352</v>
      </c>
      <c r="N310">
        <f>Table1[[#This Row],[Total Price]]*Table1[[#This Row],[Discount]]</f>
        <v>3052.7999999999997</v>
      </c>
      <c r="O310">
        <f>Table1[[#This Row],[Total Price]]-Table1[[#This Row],[Discount Amount]]</f>
        <v>17299.2</v>
      </c>
    </row>
    <row r="311" spans="1:15" x14ac:dyDescent="0.3">
      <c r="A311" t="s">
        <v>966</v>
      </c>
      <c r="B311" s="1">
        <v>45202</v>
      </c>
      <c r="C311" t="s">
        <v>967</v>
      </c>
      <c r="D311" t="s">
        <v>31</v>
      </c>
      <c r="E311">
        <v>2</v>
      </c>
      <c r="F311">
        <v>19349</v>
      </c>
      <c r="G311" s="9">
        <v>0.02</v>
      </c>
      <c r="H311" t="s">
        <v>13</v>
      </c>
      <c r="I311" t="s">
        <v>968</v>
      </c>
      <c r="J311" s="14" t="s">
        <v>37</v>
      </c>
      <c r="K311">
        <v>4</v>
      </c>
      <c r="L311" t="s">
        <v>33</v>
      </c>
      <c r="M311">
        <f>Table1[[#This Row],[UnitPrice]]*Table1[[#This Row],[Quantity]]</f>
        <v>38698</v>
      </c>
      <c r="N311">
        <f>Table1[[#This Row],[Total Price]]*Table1[[#This Row],[Discount]]</f>
        <v>773.96</v>
      </c>
      <c r="O311">
        <f>Table1[[#This Row],[Total Price]]-Table1[[#This Row],[Discount Amount]]</f>
        <v>37924.04</v>
      </c>
    </row>
    <row r="312" spans="1:15" x14ac:dyDescent="0.3">
      <c r="A312" t="s">
        <v>969</v>
      </c>
      <c r="B312" s="1">
        <v>45346</v>
      </c>
      <c r="C312" t="s">
        <v>970</v>
      </c>
      <c r="D312" t="s">
        <v>36</v>
      </c>
      <c r="E312">
        <v>3</v>
      </c>
      <c r="F312">
        <v>5648</v>
      </c>
      <c r="G312" s="9">
        <v>0.09</v>
      </c>
      <c r="H312" t="s">
        <v>20</v>
      </c>
      <c r="I312" t="s">
        <v>971</v>
      </c>
      <c r="J312" s="13" t="s">
        <v>14</v>
      </c>
      <c r="K312">
        <v>4</v>
      </c>
      <c r="L312" t="s">
        <v>22</v>
      </c>
      <c r="M312">
        <f>Table1[[#This Row],[UnitPrice]]*Table1[[#This Row],[Quantity]]</f>
        <v>16944</v>
      </c>
      <c r="N312">
        <f>Table1[[#This Row],[Total Price]]*Table1[[#This Row],[Discount]]</f>
        <v>1524.96</v>
      </c>
      <c r="O312">
        <f>Table1[[#This Row],[Total Price]]-Table1[[#This Row],[Discount Amount]]</f>
        <v>15419.04</v>
      </c>
    </row>
    <row r="313" spans="1:15" x14ac:dyDescent="0.3">
      <c r="A313" t="s">
        <v>972</v>
      </c>
      <c r="B313" s="1">
        <v>45794</v>
      </c>
      <c r="C313" t="s">
        <v>973</v>
      </c>
      <c r="D313" t="s">
        <v>58</v>
      </c>
      <c r="E313">
        <v>1</v>
      </c>
      <c r="F313">
        <v>6063</v>
      </c>
      <c r="G313" s="9">
        <v>0.3</v>
      </c>
      <c r="H313" t="s">
        <v>20</v>
      </c>
      <c r="I313" t="s">
        <v>974</v>
      </c>
      <c r="J313" s="14" t="s">
        <v>37</v>
      </c>
      <c r="K313">
        <v>8</v>
      </c>
      <c r="L313" t="s">
        <v>16</v>
      </c>
      <c r="M313">
        <f>Table1[[#This Row],[UnitPrice]]*Table1[[#This Row],[Quantity]]</f>
        <v>6063</v>
      </c>
      <c r="N313">
        <f>Table1[[#This Row],[Total Price]]*Table1[[#This Row],[Discount]]</f>
        <v>1818.8999999999999</v>
      </c>
      <c r="O313">
        <f>Table1[[#This Row],[Total Price]]-Table1[[#This Row],[Discount Amount]]</f>
        <v>4244.1000000000004</v>
      </c>
    </row>
    <row r="314" spans="1:15" x14ac:dyDescent="0.3">
      <c r="A314" t="s">
        <v>975</v>
      </c>
      <c r="B314" s="1">
        <v>45801</v>
      </c>
      <c r="C314" t="s">
        <v>976</v>
      </c>
      <c r="D314" t="s">
        <v>36</v>
      </c>
      <c r="E314">
        <v>1</v>
      </c>
      <c r="F314">
        <v>7885</v>
      </c>
      <c r="G314" s="9">
        <v>0.01</v>
      </c>
      <c r="H314" t="s">
        <v>45</v>
      </c>
      <c r="I314" t="s">
        <v>977</v>
      </c>
      <c r="J314" s="13" t="s">
        <v>73</v>
      </c>
      <c r="K314">
        <v>7</v>
      </c>
      <c r="L314" t="s">
        <v>22</v>
      </c>
      <c r="M314">
        <f>Table1[[#This Row],[UnitPrice]]*Table1[[#This Row],[Quantity]]</f>
        <v>7885</v>
      </c>
      <c r="N314">
        <f>Table1[[#This Row],[Total Price]]*Table1[[#This Row],[Discount]]</f>
        <v>78.850000000000009</v>
      </c>
      <c r="O314">
        <f>Table1[[#This Row],[Total Price]]-Table1[[#This Row],[Discount Amount]]</f>
        <v>7806.15</v>
      </c>
    </row>
    <row r="315" spans="1:15" x14ac:dyDescent="0.3">
      <c r="A315" t="s">
        <v>978</v>
      </c>
      <c r="B315" s="1">
        <v>45116</v>
      </c>
      <c r="C315" t="s">
        <v>979</v>
      </c>
      <c r="D315" t="s">
        <v>31</v>
      </c>
      <c r="E315">
        <v>3</v>
      </c>
      <c r="F315">
        <v>31807</v>
      </c>
      <c r="G315" s="9">
        <v>0.4</v>
      </c>
      <c r="H315" t="s">
        <v>50</v>
      </c>
      <c r="I315" t="s">
        <v>980</v>
      </c>
      <c r="J315" s="14" t="s">
        <v>37</v>
      </c>
      <c r="K315">
        <v>7</v>
      </c>
      <c r="L315" t="s">
        <v>16</v>
      </c>
      <c r="M315">
        <f>Table1[[#This Row],[UnitPrice]]*Table1[[#This Row],[Quantity]]</f>
        <v>95421</v>
      </c>
      <c r="N315">
        <f>Table1[[#This Row],[Total Price]]*Table1[[#This Row],[Discount]]</f>
        <v>38168.400000000001</v>
      </c>
      <c r="O315">
        <f>Table1[[#This Row],[Total Price]]-Table1[[#This Row],[Discount Amount]]</f>
        <v>57252.6</v>
      </c>
    </row>
    <row r="316" spans="1:15" x14ac:dyDescent="0.3">
      <c r="A316" t="s">
        <v>981</v>
      </c>
      <c r="B316" s="1">
        <v>45203</v>
      </c>
      <c r="C316" t="s">
        <v>982</v>
      </c>
      <c r="D316" t="s">
        <v>58</v>
      </c>
      <c r="E316">
        <v>1</v>
      </c>
      <c r="F316">
        <v>1075</v>
      </c>
      <c r="G316" s="9">
        <v>0.45</v>
      </c>
      <c r="H316" t="s">
        <v>20</v>
      </c>
      <c r="I316" t="s">
        <v>983</v>
      </c>
      <c r="J316" s="13" t="s">
        <v>37</v>
      </c>
      <c r="K316">
        <v>4</v>
      </c>
      <c r="L316" t="s">
        <v>22</v>
      </c>
      <c r="M316">
        <f>Table1[[#This Row],[UnitPrice]]*Table1[[#This Row],[Quantity]]</f>
        <v>1075</v>
      </c>
      <c r="N316">
        <f>Table1[[#This Row],[Total Price]]*Table1[[#This Row],[Discount]]</f>
        <v>483.75</v>
      </c>
      <c r="O316">
        <f>Table1[[#This Row],[Total Price]]-Table1[[#This Row],[Discount Amount]]</f>
        <v>591.25</v>
      </c>
    </row>
    <row r="317" spans="1:15" x14ac:dyDescent="0.3">
      <c r="A317" t="s">
        <v>984</v>
      </c>
      <c r="B317" s="1">
        <v>45789</v>
      </c>
      <c r="C317" t="s">
        <v>985</v>
      </c>
      <c r="D317" t="s">
        <v>25</v>
      </c>
      <c r="E317">
        <v>3</v>
      </c>
      <c r="F317">
        <v>7506</v>
      </c>
      <c r="G317" s="9">
        <v>0.25</v>
      </c>
      <c r="H317" t="s">
        <v>20</v>
      </c>
      <c r="I317" t="s">
        <v>986</v>
      </c>
      <c r="J317" s="14" t="s">
        <v>73</v>
      </c>
      <c r="K317">
        <v>9</v>
      </c>
      <c r="L317" t="s">
        <v>28</v>
      </c>
      <c r="M317">
        <f>Table1[[#This Row],[UnitPrice]]*Table1[[#This Row],[Quantity]]</f>
        <v>22518</v>
      </c>
      <c r="N317">
        <f>Table1[[#This Row],[Total Price]]*Table1[[#This Row],[Discount]]</f>
        <v>5629.5</v>
      </c>
      <c r="O317">
        <f>Table1[[#This Row],[Total Price]]-Table1[[#This Row],[Discount Amount]]</f>
        <v>16888.5</v>
      </c>
    </row>
    <row r="318" spans="1:15" x14ac:dyDescent="0.3">
      <c r="A318" t="s">
        <v>987</v>
      </c>
      <c r="B318" s="1">
        <v>45201</v>
      </c>
      <c r="C318" t="s">
        <v>988</v>
      </c>
      <c r="D318" t="s">
        <v>58</v>
      </c>
      <c r="E318">
        <v>2</v>
      </c>
      <c r="F318">
        <v>6822</v>
      </c>
      <c r="G318" s="9">
        <v>0.35</v>
      </c>
      <c r="H318" t="s">
        <v>45</v>
      </c>
      <c r="I318" t="s">
        <v>989</v>
      </c>
      <c r="J318" s="13" t="s">
        <v>14</v>
      </c>
      <c r="K318">
        <v>9</v>
      </c>
      <c r="L318" t="s">
        <v>33</v>
      </c>
      <c r="M318">
        <f>Table1[[#This Row],[UnitPrice]]*Table1[[#This Row],[Quantity]]</f>
        <v>13644</v>
      </c>
      <c r="N318">
        <f>Table1[[#This Row],[Total Price]]*Table1[[#This Row],[Discount]]</f>
        <v>4775.3999999999996</v>
      </c>
      <c r="O318">
        <f>Table1[[#This Row],[Total Price]]-Table1[[#This Row],[Discount Amount]]</f>
        <v>8868.6</v>
      </c>
    </row>
    <row r="319" spans="1:15" x14ac:dyDescent="0.3">
      <c r="A319" t="s">
        <v>990</v>
      </c>
      <c r="B319" s="1">
        <v>45026</v>
      </c>
      <c r="C319" t="s">
        <v>991</v>
      </c>
      <c r="D319" t="s">
        <v>12</v>
      </c>
      <c r="E319">
        <v>2</v>
      </c>
      <c r="F319">
        <v>7586</v>
      </c>
      <c r="G319" s="9">
        <v>0.23</v>
      </c>
      <c r="H319" t="s">
        <v>20</v>
      </c>
      <c r="I319" t="s">
        <v>992</v>
      </c>
      <c r="J319" s="14" t="s">
        <v>14</v>
      </c>
      <c r="K319">
        <v>5</v>
      </c>
      <c r="L319" t="s">
        <v>16</v>
      </c>
      <c r="M319">
        <f>Table1[[#This Row],[UnitPrice]]*Table1[[#This Row],[Quantity]]</f>
        <v>15172</v>
      </c>
      <c r="N319">
        <f>Table1[[#This Row],[Total Price]]*Table1[[#This Row],[Discount]]</f>
        <v>3489.56</v>
      </c>
      <c r="O319">
        <f>Table1[[#This Row],[Total Price]]-Table1[[#This Row],[Discount Amount]]</f>
        <v>11682.44</v>
      </c>
    </row>
    <row r="320" spans="1:15" x14ac:dyDescent="0.3">
      <c r="A320" t="s">
        <v>993</v>
      </c>
      <c r="B320" s="1">
        <v>45500</v>
      </c>
      <c r="C320" t="s">
        <v>994</v>
      </c>
      <c r="D320" t="s">
        <v>31</v>
      </c>
      <c r="E320">
        <v>3</v>
      </c>
      <c r="F320">
        <v>16414</v>
      </c>
      <c r="G320" s="9">
        <v>0.15</v>
      </c>
      <c r="H320" t="s">
        <v>13</v>
      </c>
      <c r="I320" t="s">
        <v>995</v>
      </c>
      <c r="J320" s="13" t="s">
        <v>37</v>
      </c>
      <c r="K320">
        <v>7</v>
      </c>
      <c r="L320" t="s">
        <v>60</v>
      </c>
      <c r="M320">
        <f>Table1[[#This Row],[UnitPrice]]*Table1[[#This Row],[Quantity]]</f>
        <v>49242</v>
      </c>
      <c r="N320">
        <f>Table1[[#This Row],[Total Price]]*Table1[[#This Row],[Discount]]</f>
        <v>7386.2999999999993</v>
      </c>
      <c r="O320">
        <f>Table1[[#This Row],[Total Price]]-Table1[[#This Row],[Discount Amount]]</f>
        <v>41855.699999999997</v>
      </c>
    </row>
    <row r="321" spans="1:15" x14ac:dyDescent="0.3">
      <c r="A321" t="s">
        <v>996</v>
      </c>
      <c r="B321" s="1">
        <v>45262</v>
      </c>
      <c r="C321" t="s">
        <v>997</v>
      </c>
      <c r="D321" t="s">
        <v>44</v>
      </c>
      <c r="E321">
        <v>3</v>
      </c>
      <c r="F321">
        <v>20447</v>
      </c>
      <c r="G321" s="9">
        <v>0.08</v>
      </c>
      <c r="H321" t="s">
        <v>50</v>
      </c>
      <c r="I321" t="s">
        <v>998</v>
      </c>
      <c r="J321" s="14" t="s">
        <v>73</v>
      </c>
      <c r="K321">
        <v>6</v>
      </c>
      <c r="L321" t="s">
        <v>16</v>
      </c>
      <c r="M321">
        <f>Table1[[#This Row],[UnitPrice]]*Table1[[#This Row],[Quantity]]</f>
        <v>61341</v>
      </c>
      <c r="N321">
        <f>Table1[[#This Row],[Total Price]]*Table1[[#This Row],[Discount]]</f>
        <v>4907.28</v>
      </c>
      <c r="O321">
        <f>Table1[[#This Row],[Total Price]]-Table1[[#This Row],[Discount Amount]]</f>
        <v>56433.72</v>
      </c>
    </row>
    <row r="322" spans="1:15" x14ac:dyDescent="0.3">
      <c r="A322" t="s">
        <v>999</v>
      </c>
      <c r="B322" s="1">
        <v>45645</v>
      </c>
      <c r="C322" t="s">
        <v>1000</v>
      </c>
      <c r="D322" t="s">
        <v>36</v>
      </c>
      <c r="E322">
        <v>3</v>
      </c>
      <c r="F322">
        <v>5457</v>
      </c>
      <c r="G322" s="9">
        <v>0.26</v>
      </c>
      <c r="H322" t="s">
        <v>26</v>
      </c>
      <c r="I322" t="s">
        <v>1001</v>
      </c>
      <c r="J322" s="13" t="s">
        <v>14</v>
      </c>
      <c r="K322">
        <v>1</v>
      </c>
      <c r="L322" t="s">
        <v>33</v>
      </c>
      <c r="M322">
        <f>Table1[[#This Row],[UnitPrice]]*Table1[[#This Row],[Quantity]]</f>
        <v>16371</v>
      </c>
      <c r="N322">
        <f>Table1[[#This Row],[Total Price]]*Table1[[#This Row],[Discount]]</f>
        <v>4256.46</v>
      </c>
      <c r="O322">
        <f>Table1[[#This Row],[Total Price]]-Table1[[#This Row],[Discount Amount]]</f>
        <v>12114.54</v>
      </c>
    </row>
    <row r="323" spans="1:15" x14ac:dyDescent="0.3">
      <c r="A323" t="s">
        <v>1002</v>
      </c>
      <c r="B323" s="1">
        <v>45147</v>
      </c>
      <c r="C323" t="s">
        <v>1003</v>
      </c>
      <c r="D323" t="s">
        <v>19</v>
      </c>
      <c r="E323">
        <v>1</v>
      </c>
      <c r="F323">
        <v>45910</v>
      </c>
      <c r="G323" s="9">
        <v>0.46</v>
      </c>
      <c r="H323" t="s">
        <v>13</v>
      </c>
      <c r="I323" t="s">
        <v>1004</v>
      </c>
      <c r="J323" s="14" t="s">
        <v>73</v>
      </c>
      <c r="K323">
        <v>6</v>
      </c>
      <c r="L323" t="s">
        <v>60</v>
      </c>
      <c r="M323">
        <f>Table1[[#This Row],[UnitPrice]]*Table1[[#This Row],[Quantity]]</f>
        <v>45910</v>
      </c>
      <c r="N323">
        <f>Table1[[#This Row],[Total Price]]*Table1[[#This Row],[Discount]]</f>
        <v>21118.600000000002</v>
      </c>
      <c r="O323">
        <f>Table1[[#This Row],[Total Price]]-Table1[[#This Row],[Discount Amount]]</f>
        <v>24791.399999999998</v>
      </c>
    </row>
    <row r="324" spans="1:15" x14ac:dyDescent="0.3">
      <c r="A324" t="s">
        <v>1005</v>
      </c>
      <c r="B324" s="1">
        <v>45457</v>
      </c>
      <c r="C324" t="s">
        <v>1006</v>
      </c>
      <c r="D324" t="s">
        <v>19</v>
      </c>
      <c r="E324">
        <v>2</v>
      </c>
      <c r="F324">
        <v>36964</v>
      </c>
      <c r="G324" s="9">
        <v>0.44</v>
      </c>
      <c r="H324" t="s">
        <v>13</v>
      </c>
      <c r="I324" t="s">
        <v>1007</v>
      </c>
      <c r="J324" s="13" t="s">
        <v>37</v>
      </c>
      <c r="K324">
        <v>6</v>
      </c>
      <c r="L324" t="s">
        <v>33</v>
      </c>
      <c r="M324">
        <f>Table1[[#This Row],[UnitPrice]]*Table1[[#This Row],[Quantity]]</f>
        <v>73928</v>
      </c>
      <c r="N324">
        <f>Table1[[#This Row],[Total Price]]*Table1[[#This Row],[Discount]]</f>
        <v>32528.32</v>
      </c>
      <c r="O324">
        <f>Table1[[#This Row],[Total Price]]-Table1[[#This Row],[Discount Amount]]</f>
        <v>41399.68</v>
      </c>
    </row>
    <row r="325" spans="1:15" x14ac:dyDescent="0.3">
      <c r="A325" t="s">
        <v>1008</v>
      </c>
      <c r="B325" s="1">
        <v>45683</v>
      </c>
      <c r="C325" t="s">
        <v>1009</v>
      </c>
      <c r="D325" t="s">
        <v>44</v>
      </c>
      <c r="E325">
        <v>3</v>
      </c>
      <c r="F325">
        <v>31760</v>
      </c>
      <c r="G325" s="9">
        <v>0.46</v>
      </c>
      <c r="H325" t="s">
        <v>13</v>
      </c>
      <c r="I325" t="s">
        <v>1010</v>
      </c>
      <c r="J325" s="14" t="s">
        <v>37</v>
      </c>
      <c r="K325">
        <v>1</v>
      </c>
      <c r="L325" t="s">
        <v>22</v>
      </c>
      <c r="M325">
        <f>Table1[[#This Row],[UnitPrice]]*Table1[[#This Row],[Quantity]]</f>
        <v>95280</v>
      </c>
      <c r="N325">
        <f>Table1[[#This Row],[Total Price]]*Table1[[#This Row],[Discount]]</f>
        <v>43828.800000000003</v>
      </c>
      <c r="O325">
        <f>Table1[[#This Row],[Total Price]]-Table1[[#This Row],[Discount Amount]]</f>
        <v>51451.199999999997</v>
      </c>
    </row>
    <row r="326" spans="1:15" x14ac:dyDescent="0.3">
      <c r="A326" t="s">
        <v>1011</v>
      </c>
      <c r="B326" s="1">
        <v>45456</v>
      </c>
      <c r="C326" t="s">
        <v>1012</v>
      </c>
      <c r="D326" t="s">
        <v>25</v>
      </c>
      <c r="E326">
        <v>2</v>
      </c>
      <c r="F326">
        <v>18911</v>
      </c>
      <c r="G326" s="9">
        <v>0.48</v>
      </c>
      <c r="H326" t="s">
        <v>13</v>
      </c>
      <c r="I326" t="s">
        <v>1013</v>
      </c>
      <c r="J326" s="13" t="s">
        <v>73</v>
      </c>
      <c r="K326">
        <v>5</v>
      </c>
      <c r="L326" t="s">
        <v>22</v>
      </c>
      <c r="M326">
        <f>Table1[[#This Row],[UnitPrice]]*Table1[[#This Row],[Quantity]]</f>
        <v>37822</v>
      </c>
      <c r="N326">
        <f>Table1[[#This Row],[Total Price]]*Table1[[#This Row],[Discount]]</f>
        <v>18154.559999999998</v>
      </c>
      <c r="O326">
        <f>Table1[[#This Row],[Total Price]]-Table1[[#This Row],[Discount Amount]]</f>
        <v>19667.440000000002</v>
      </c>
    </row>
    <row r="327" spans="1:15" x14ac:dyDescent="0.3">
      <c r="A327" t="s">
        <v>1014</v>
      </c>
      <c r="B327" s="1">
        <v>45106</v>
      </c>
      <c r="C327" t="s">
        <v>1015</v>
      </c>
      <c r="D327" t="s">
        <v>58</v>
      </c>
      <c r="E327">
        <v>3</v>
      </c>
      <c r="F327">
        <v>8866</v>
      </c>
      <c r="G327" s="9">
        <v>0.08</v>
      </c>
      <c r="H327" t="s">
        <v>26</v>
      </c>
      <c r="I327" t="s">
        <v>1016</v>
      </c>
      <c r="J327" s="14" t="s">
        <v>14</v>
      </c>
      <c r="K327">
        <v>8</v>
      </c>
      <c r="L327" t="s">
        <v>22</v>
      </c>
      <c r="M327">
        <f>Table1[[#This Row],[UnitPrice]]*Table1[[#This Row],[Quantity]]</f>
        <v>26598</v>
      </c>
      <c r="N327">
        <f>Table1[[#This Row],[Total Price]]*Table1[[#This Row],[Discount]]</f>
        <v>2127.84</v>
      </c>
      <c r="O327">
        <f>Table1[[#This Row],[Total Price]]-Table1[[#This Row],[Discount Amount]]</f>
        <v>24470.16</v>
      </c>
    </row>
    <row r="328" spans="1:15" x14ac:dyDescent="0.3">
      <c r="A328" t="s">
        <v>1017</v>
      </c>
      <c r="B328" s="1">
        <v>45474</v>
      </c>
      <c r="C328" t="s">
        <v>1018</v>
      </c>
      <c r="D328" t="s">
        <v>44</v>
      </c>
      <c r="E328">
        <v>3</v>
      </c>
      <c r="F328">
        <v>51011</v>
      </c>
      <c r="G328" s="9">
        <v>7.0000000000000007E-2</v>
      </c>
      <c r="H328" t="s">
        <v>45</v>
      </c>
      <c r="I328" t="s">
        <v>1019</v>
      </c>
      <c r="J328" s="13" t="s">
        <v>37</v>
      </c>
      <c r="K328">
        <v>5</v>
      </c>
      <c r="L328" t="s">
        <v>33</v>
      </c>
      <c r="M328">
        <f>Table1[[#This Row],[UnitPrice]]*Table1[[#This Row],[Quantity]]</f>
        <v>153033</v>
      </c>
      <c r="N328">
        <f>Table1[[#This Row],[Total Price]]*Table1[[#This Row],[Discount]]</f>
        <v>10712.310000000001</v>
      </c>
      <c r="O328">
        <f>Table1[[#This Row],[Total Price]]-Table1[[#This Row],[Discount Amount]]</f>
        <v>142320.69</v>
      </c>
    </row>
    <row r="329" spans="1:15" x14ac:dyDescent="0.3">
      <c r="A329" t="s">
        <v>1020</v>
      </c>
      <c r="B329" s="1">
        <v>45132</v>
      </c>
      <c r="C329" t="s">
        <v>1021</v>
      </c>
      <c r="D329" t="s">
        <v>19</v>
      </c>
      <c r="E329">
        <v>2</v>
      </c>
      <c r="F329">
        <v>42936</v>
      </c>
      <c r="G329" s="9">
        <v>0.21</v>
      </c>
      <c r="H329" t="s">
        <v>45</v>
      </c>
      <c r="I329" t="s">
        <v>1022</v>
      </c>
      <c r="J329" s="14" t="s">
        <v>37</v>
      </c>
      <c r="K329">
        <v>5</v>
      </c>
      <c r="L329" t="s">
        <v>28</v>
      </c>
      <c r="M329">
        <f>Table1[[#This Row],[UnitPrice]]*Table1[[#This Row],[Quantity]]</f>
        <v>85872</v>
      </c>
      <c r="N329">
        <f>Table1[[#This Row],[Total Price]]*Table1[[#This Row],[Discount]]</f>
        <v>18033.12</v>
      </c>
      <c r="O329">
        <f>Table1[[#This Row],[Total Price]]-Table1[[#This Row],[Discount Amount]]</f>
        <v>67838.880000000005</v>
      </c>
    </row>
    <row r="330" spans="1:15" x14ac:dyDescent="0.3">
      <c r="A330" t="s">
        <v>1023</v>
      </c>
      <c r="B330" s="1">
        <v>44985</v>
      </c>
      <c r="C330" t="s">
        <v>1024</v>
      </c>
      <c r="D330" t="s">
        <v>25</v>
      </c>
      <c r="E330">
        <v>3</v>
      </c>
      <c r="F330">
        <v>16977</v>
      </c>
      <c r="G330" s="9">
        <v>0.34</v>
      </c>
      <c r="H330" t="s">
        <v>20</v>
      </c>
      <c r="I330" t="s">
        <v>1025</v>
      </c>
      <c r="J330" s="13" t="s">
        <v>14</v>
      </c>
      <c r="K330">
        <v>7</v>
      </c>
      <c r="L330" t="s">
        <v>60</v>
      </c>
      <c r="M330">
        <f>Table1[[#This Row],[UnitPrice]]*Table1[[#This Row],[Quantity]]</f>
        <v>50931</v>
      </c>
      <c r="N330">
        <f>Table1[[#This Row],[Total Price]]*Table1[[#This Row],[Discount]]</f>
        <v>17316.54</v>
      </c>
      <c r="O330">
        <f>Table1[[#This Row],[Total Price]]-Table1[[#This Row],[Discount Amount]]</f>
        <v>33614.46</v>
      </c>
    </row>
    <row r="331" spans="1:15" x14ac:dyDescent="0.3">
      <c r="A331" t="s">
        <v>1026</v>
      </c>
      <c r="B331" s="1">
        <v>45651</v>
      </c>
      <c r="C331" t="s">
        <v>1027</v>
      </c>
      <c r="D331" t="s">
        <v>31</v>
      </c>
      <c r="E331">
        <v>1</v>
      </c>
      <c r="F331">
        <v>32252</v>
      </c>
      <c r="G331" s="9">
        <v>0.22</v>
      </c>
      <c r="H331" t="s">
        <v>26</v>
      </c>
      <c r="I331" t="s">
        <v>1028</v>
      </c>
      <c r="J331" s="14" t="s">
        <v>14</v>
      </c>
      <c r="K331">
        <v>6</v>
      </c>
      <c r="L331" t="s">
        <v>60</v>
      </c>
      <c r="M331">
        <f>Table1[[#This Row],[UnitPrice]]*Table1[[#This Row],[Quantity]]</f>
        <v>32252</v>
      </c>
      <c r="N331">
        <f>Table1[[#This Row],[Total Price]]*Table1[[#This Row],[Discount]]</f>
        <v>7095.44</v>
      </c>
      <c r="O331">
        <f>Table1[[#This Row],[Total Price]]-Table1[[#This Row],[Discount Amount]]</f>
        <v>25156.560000000001</v>
      </c>
    </row>
    <row r="332" spans="1:15" x14ac:dyDescent="0.3">
      <c r="A332" t="s">
        <v>1029</v>
      </c>
      <c r="B332" s="1">
        <v>45445</v>
      </c>
      <c r="C332" t="s">
        <v>1030</v>
      </c>
      <c r="D332" t="s">
        <v>58</v>
      </c>
      <c r="E332">
        <v>2</v>
      </c>
      <c r="F332">
        <v>7459</v>
      </c>
      <c r="G332" s="9">
        <v>0.45</v>
      </c>
      <c r="H332" t="s">
        <v>45</v>
      </c>
      <c r="I332" t="s">
        <v>1031</v>
      </c>
      <c r="J332" s="13" t="s">
        <v>73</v>
      </c>
      <c r="K332">
        <v>5</v>
      </c>
      <c r="L332" t="s">
        <v>16</v>
      </c>
      <c r="M332">
        <f>Table1[[#This Row],[UnitPrice]]*Table1[[#This Row],[Quantity]]</f>
        <v>14918</v>
      </c>
      <c r="N332">
        <f>Table1[[#This Row],[Total Price]]*Table1[[#This Row],[Discount]]</f>
        <v>6713.1</v>
      </c>
      <c r="O332">
        <f>Table1[[#This Row],[Total Price]]-Table1[[#This Row],[Discount Amount]]</f>
        <v>8204.9</v>
      </c>
    </row>
    <row r="333" spans="1:15" x14ac:dyDescent="0.3">
      <c r="A333" t="s">
        <v>1032</v>
      </c>
      <c r="B333" s="1">
        <v>45031</v>
      </c>
      <c r="C333" t="s">
        <v>1033</v>
      </c>
      <c r="D333" t="s">
        <v>36</v>
      </c>
      <c r="E333">
        <v>3</v>
      </c>
      <c r="F333">
        <v>6387</v>
      </c>
      <c r="G333" s="9">
        <v>0.36</v>
      </c>
      <c r="H333" t="s">
        <v>20</v>
      </c>
      <c r="I333" t="s">
        <v>1034</v>
      </c>
      <c r="J333" s="14" t="s">
        <v>37</v>
      </c>
      <c r="K333">
        <v>7</v>
      </c>
      <c r="L333" t="s">
        <v>33</v>
      </c>
      <c r="M333">
        <f>Table1[[#This Row],[UnitPrice]]*Table1[[#This Row],[Quantity]]</f>
        <v>19161</v>
      </c>
      <c r="N333">
        <f>Table1[[#This Row],[Total Price]]*Table1[[#This Row],[Discount]]</f>
        <v>6897.96</v>
      </c>
      <c r="O333">
        <f>Table1[[#This Row],[Total Price]]-Table1[[#This Row],[Discount Amount]]</f>
        <v>12263.04</v>
      </c>
    </row>
    <row r="334" spans="1:15" x14ac:dyDescent="0.3">
      <c r="A334" t="s">
        <v>1035</v>
      </c>
      <c r="B334" s="1">
        <v>45476</v>
      </c>
      <c r="C334" t="s">
        <v>1036</v>
      </c>
      <c r="D334" t="s">
        <v>58</v>
      </c>
      <c r="E334">
        <v>3</v>
      </c>
      <c r="F334">
        <v>2225</v>
      </c>
      <c r="G334" s="9">
        <v>0.32</v>
      </c>
      <c r="H334" t="s">
        <v>13</v>
      </c>
      <c r="I334" t="s">
        <v>1037</v>
      </c>
      <c r="J334" s="13" t="s">
        <v>73</v>
      </c>
      <c r="K334">
        <v>9</v>
      </c>
      <c r="L334" t="s">
        <v>60</v>
      </c>
      <c r="M334">
        <f>Table1[[#This Row],[UnitPrice]]*Table1[[#This Row],[Quantity]]</f>
        <v>6675</v>
      </c>
      <c r="N334">
        <f>Table1[[#This Row],[Total Price]]*Table1[[#This Row],[Discount]]</f>
        <v>2136</v>
      </c>
      <c r="O334">
        <f>Table1[[#This Row],[Total Price]]-Table1[[#This Row],[Discount Amount]]</f>
        <v>4539</v>
      </c>
    </row>
    <row r="335" spans="1:15" x14ac:dyDescent="0.3">
      <c r="A335" t="s">
        <v>1038</v>
      </c>
      <c r="B335" s="1">
        <v>45398</v>
      </c>
      <c r="C335" t="s">
        <v>1039</v>
      </c>
      <c r="D335" t="s">
        <v>19</v>
      </c>
      <c r="E335">
        <v>2</v>
      </c>
      <c r="F335">
        <v>16139</v>
      </c>
      <c r="G335" s="9">
        <v>0.04</v>
      </c>
      <c r="H335" t="s">
        <v>26</v>
      </c>
      <c r="I335" t="s">
        <v>1040</v>
      </c>
      <c r="J335" s="14" t="s">
        <v>73</v>
      </c>
      <c r="K335">
        <v>5</v>
      </c>
      <c r="L335" t="s">
        <v>16</v>
      </c>
      <c r="M335">
        <f>Table1[[#This Row],[UnitPrice]]*Table1[[#This Row],[Quantity]]</f>
        <v>32278</v>
      </c>
      <c r="N335">
        <f>Table1[[#This Row],[Total Price]]*Table1[[#This Row],[Discount]]</f>
        <v>1291.1200000000001</v>
      </c>
      <c r="O335">
        <f>Table1[[#This Row],[Total Price]]-Table1[[#This Row],[Discount Amount]]</f>
        <v>30986.880000000001</v>
      </c>
    </row>
    <row r="336" spans="1:15" x14ac:dyDescent="0.3">
      <c r="A336" t="s">
        <v>1041</v>
      </c>
      <c r="B336" s="1">
        <v>45377</v>
      </c>
      <c r="C336" t="s">
        <v>1042</v>
      </c>
      <c r="D336" t="s">
        <v>31</v>
      </c>
      <c r="E336">
        <v>1</v>
      </c>
      <c r="F336">
        <v>44927</v>
      </c>
      <c r="G336" s="9">
        <v>0.09</v>
      </c>
      <c r="H336" t="s">
        <v>20</v>
      </c>
      <c r="I336" t="s">
        <v>1043</v>
      </c>
      <c r="J336" s="13" t="s">
        <v>37</v>
      </c>
      <c r="K336">
        <v>7</v>
      </c>
      <c r="L336" t="s">
        <v>33</v>
      </c>
      <c r="M336">
        <f>Table1[[#This Row],[UnitPrice]]*Table1[[#This Row],[Quantity]]</f>
        <v>44927</v>
      </c>
      <c r="N336">
        <f>Table1[[#This Row],[Total Price]]*Table1[[#This Row],[Discount]]</f>
        <v>4043.43</v>
      </c>
      <c r="O336">
        <f>Table1[[#This Row],[Total Price]]-Table1[[#This Row],[Discount Amount]]</f>
        <v>40883.57</v>
      </c>
    </row>
    <row r="337" spans="1:15" x14ac:dyDescent="0.3">
      <c r="A337" t="s">
        <v>1044</v>
      </c>
      <c r="B337" s="1">
        <v>45719</v>
      </c>
      <c r="C337" t="s">
        <v>1045</v>
      </c>
      <c r="D337" t="s">
        <v>25</v>
      </c>
      <c r="E337">
        <v>3</v>
      </c>
      <c r="F337">
        <v>11302</v>
      </c>
      <c r="G337" s="9">
        <v>0.21</v>
      </c>
      <c r="H337" t="s">
        <v>45</v>
      </c>
      <c r="I337" t="s">
        <v>1046</v>
      </c>
      <c r="J337" s="14" t="s">
        <v>14</v>
      </c>
      <c r="K337">
        <v>4</v>
      </c>
      <c r="L337" t="s">
        <v>28</v>
      </c>
      <c r="M337">
        <f>Table1[[#This Row],[UnitPrice]]*Table1[[#This Row],[Quantity]]</f>
        <v>33906</v>
      </c>
      <c r="N337">
        <f>Table1[[#This Row],[Total Price]]*Table1[[#This Row],[Discount]]</f>
        <v>7120.2599999999993</v>
      </c>
      <c r="O337">
        <f>Table1[[#This Row],[Total Price]]-Table1[[#This Row],[Discount Amount]]</f>
        <v>26785.74</v>
      </c>
    </row>
    <row r="338" spans="1:15" x14ac:dyDescent="0.3">
      <c r="A338" t="s">
        <v>1047</v>
      </c>
      <c r="B338" s="1">
        <v>45289</v>
      </c>
      <c r="C338" t="s">
        <v>1048</v>
      </c>
      <c r="D338" t="s">
        <v>44</v>
      </c>
      <c r="E338">
        <v>2</v>
      </c>
      <c r="F338">
        <v>35700</v>
      </c>
      <c r="G338" s="9">
        <v>0.49</v>
      </c>
      <c r="H338" t="s">
        <v>13</v>
      </c>
      <c r="I338" t="s">
        <v>1049</v>
      </c>
      <c r="J338" s="13" t="s">
        <v>73</v>
      </c>
      <c r="K338">
        <v>4</v>
      </c>
      <c r="L338" t="s">
        <v>16</v>
      </c>
      <c r="M338">
        <f>Table1[[#This Row],[UnitPrice]]*Table1[[#This Row],[Quantity]]</f>
        <v>71400</v>
      </c>
      <c r="N338">
        <f>Table1[[#This Row],[Total Price]]*Table1[[#This Row],[Discount]]</f>
        <v>34986</v>
      </c>
      <c r="O338">
        <f>Table1[[#This Row],[Total Price]]-Table1[[#This Row],[Discount Amount]]</f>
        <v>36414</v>
      </c>
    </row>
    <row r="339" spans="1:15" x14ac:dyDescent="0.3">
      <c r="A339" t="s">
        <v>1050</v>
      </c>
      <c r="B339" s="1">
        <v>45075</v>
      </c>
      <c r="C339" t="s">
        <v>1051</v>
      </c>
      <c r="D339" t="s">
        <v>25</v>
      </c>
      <c r="E339">
        <v>2</v>
      </c>
      <c r="F339">
        <v>8800</v>
      </c>
      <c r="G339" s="9">
        <v>0.17</v>
      </c>
      <c r="H339" t="s">
        <v>13</v>
      </c>
      <c r="I339" t="s">
        <v>1052</v>
      </c>
      <c r="J339" s="14" t="s">
        <v>73</v>
      </c>
      <c r="K339">
        <v>8</v>
      </c>
      <c r="L339" t="s">
        <v>28</v>
      </c>
      <c r="M339">
        <f>Table1[[#This Row],[UnitPrice]]*Table1[[#This Row],[Quantity]]</f>
        <v>17600</v>
      </c>
      <c r="N339">
        <f>Table1[[#This Row],[Total Price]]*Table1[[#This Row],[Discount]]</f>
        <v>2992</v>
      </c>
      <c r="O339">
        <f>Table1[[#This Row],[Total Price]]-Table1[[#This Row],[Discount Amount]]</f>
        <v>14608</v>
      </c>
    </row>
    <row r="340" spans="1:15" x14ac:dyDescent="0.3">
      <c r="A340" t="s">
        <v>1053</v>
      </c>
      <c r="B340" s="1">
        <v>45238</v>
      </c>
      <c r="C340" t="s">
        <v>1054</v>
      </c>
      <c r="D340" t="s">
        <v>19</v>
      </c>
      <c r="E340">
        <v>1</v>
      </c>
      <c r="F340">
        <v>29356</v>
      </c>
      <c r="G340" s="9">
        <v>0.31</v>
      </c>
      <c r="H340" t="s">
        <v>13</v>
      </c>
      <c r="I340" t="s">
        <v>1055</v>
      </c>
      <c r="J340" s="13" t="s">
        <v>14</v>
      </c>
      <c r="K340">
        <v>10</v>
      </c>
      <c r="L340" t="s">
        <v>22</v>
      </c>
      <c r="M340">
        <f>Table1[[#This Row],[UnitPrice]]*Table1[[#This Row],[Quantity]]</f>
        <v>29356</v>
      </c>
      <c r="N340">
        <f>Table1[[#This Row],[Total Price]]*Table1[[#This Row],[Discount]]</f>
        <v>9100.36</v>
      </c>
      <c r="O340">
        <f>Table1[[#This Row],[Total Price]]-Table1[[#This Row],[Discount Amount]]</f>
        <v>20255.64</v>
      </c>
    </row>
    <row r="341" spans="1:15" x14ac:dyDescent="0.3">
      <c r="A341" t="s">
        <v>1056</v>
      </c>
      <c r="B341" s="1">
        <v>45392</v>
      </c>
      <c r="C341" t="s">
        <v>1057</v>
      </c>
      <c r="D341" t="s">
        <v>36</v>
      </c>
      <c r="E341">
        <v>2</v>
      </c>
      <c r="F341">
        <v>8499</v>
      </c>
      <c r="G341" s="9">
        <v>0.49</v>
      </c>
      <c r="H341" t="s">
        <v>20</v>
      </c>
      <c r="I341" t="s">
        <v>1058</v>
      </c>
      <c r="J341" s="14" t="s">
        <v>73</v>
      </c>
      <c r="K341">
        <v>3</v>
      </c>
      <c r="L341" t="s">
        <v>16</v>
      </c>
      <c r="M341">
        <f>Table1[[#This Row],[UnitPrice]]*Table1[[#This Row],[Quantity]]</f>
        <v>16998</v>
      </c>
      <c r="N341">
        <f>Table1[[#This Row],[Total Price]]*Table1[[#This Row],[Discount]]</f>
        <v>8329.02</v>
      </c>
      <c r="O341">
        <f>Table1[[#This Row],[Total Price]]-Table1[[#This Row],[Discount Amount]]</f>
        <v>8668.98</v>
      </c>
    </row>
    <row r="342" spans="1:15" x14ac:dyDescent="0.3">
      <c r="A342" t="s">
        <v>1059</v>
      </c>
      <c r="B342" s="1">
        <v>45039</v>
      </c>
      <c r="C342" t="s">
        <v>1060</v>
      </c>
      <c r="D342" t="s">
        <v>44</v>
      </c>
      <c r="E342">
        <v>2</v>
      </c>
      <c r="F342">
        <v>47390</v>
      </c>
      <c r="G342" s="9">
        <v>0.13</v>
      </c>
      <c r="H342" t="s">
        <v>50</v>
      </c>
      <c r="I342" t="s">
        <v>1061</v>
      </c>
      <c r="J342" s="13" t="s">
        <v>14</v>
      </c>
      <c r="K342">
        <v>8</v>
      </c>
      <c r="L342" t="s">
        <v>28</v>
      </c>
      <c r="M342">
        <f>Table1[[#This Row],[UnitPrice]]*Table1[[#This Row],[Quantity]]</f>
        <v>94780</v>
      </c>
      <c r="N342">
        <f>Table1[[#This Row],[Total Price]]*Table1[[#This Row],[Discount]]</f>
        <v>12321.4</v>
      </c>
      <c r="O342">
        <f>Table1[[#This Row],[Total Price]]-Table1[[#This Row],[Discount Amount]]</f>
        <v>82458.600000000006</v>
      </c>
    </row>
    <row r="343" spans="1:15" x14ac:dyDescent="0.3">
      <c r="A343" t="s">
        <v>1062</v>
      </c>
      <c r="B343" s="1">
        <v>45558</v>
      </c>
      <c r="C343" t="s">
        <v>1063</v>
      </c>
      <c r="D343" t="s">
        <v>25</v>
      </c>
      <c r="E343">
        <v>2</v>
      </c>
      <c r="F343">
        <v>9529</v>
      </c>
      <c r="G343" s="9">
        <v>0.08</v>
      </c>
      <c r="H343" t="s">
        <v>45</v>
      </c>
      <c r="I343" t="s">
        <v>1064</v>
      </c>
      <c r="J343" s="14" t="s">
        <v>14</v>
      </c>
      <c r="K343">
        <v>5</v>
      </c>
      <c r="L343" t="s">
        <v>28</v>
      </c>
      <c r="M343">
        <f>Table1[[#This Row],[UnitPrice]]*Table1[[#This Row],[Quantity]]</f>
        <v>19058</v>
      </c>
      <c r="N343">
        <f>Table1[[#This Row],[Total Price]]*Table1[[#This Row],[Discount]]</f>
        <v>1524.64</v>
      </c>
      <c r="O343">
        <f>Table1[[#This Row],[Total Price]]-Table1[[#This Row],[Discount Amount]]</f>
        <v>17533.36</v>
      </c>
    </row>
    <row r="344" spans="1:15" x14ac:dyDescent="0.3">
      <c r="A344" t="s">
        <v>1065</v>
      </c>
      <c r="B344" s="1">
        <v>45832</v>
      </c>
      <c r="C344" t="s">
        <v>1066</v>
      </c>
      <c r="D344" t="s">
        <v>12</v>
      </c>
      <c r="E344">
        <v>2</v>
      </c>
      <c r="F344">
        <v>9741</v>
      </c>
      <c r="G344" s="9">
        <v>0.27</v>
      </c>
      <c r="H344" t="s">
        <v>45</v>
      </c>
      <c r="I344" t="s">
        <v>1067</v>
      </c>
      <c r="J344" s="13" t="s">
        <v>14</v>
      </c>
      <c r="K344">
        <v>5</v>
      </c>
      <c r="L344" t="s">
        <v>22</v>
      </c>
      <c r="M344">
        <f>Table1[[#This Row],[UnitPrice]]*Table1[[#This Row],[Quantity]]</f>
        <v>19482</v>
      </c>
      <c r="N344">
        <f>Table1[[#This Row],[Total Price]]*Table1[[#This Row],[Discount]]</f>
        <v>5260.14</v>
      </c>
      <c r="O344">
        <f>Table1[[#This Row],[Total Price]]-Table1[[#This Row],[Discount Amount]]</f>
        <v>14221.86</v>
      </c>
    </row>
    <row r="345" spans="1:15" x14ac:dyDescent="0.3">
      <c r="A345" t="s">
        <v>1068</v>
      </c>
      <c r="B345" s="1">
        <v>44983</v>
      </c>
      <c r="C345" t="s">
        <v>1069</v>
      </c>
      <c r="D345" t="s">
        <v>36</v>
      </c>
      <c r="E345">
        <v>3</v>
      </c>
      <c r="F345">
        <v>9206</v>
      </c>
      <c r="G345" s="9">
        <v>0.28000000000000003</v>
      </c>
      <c r="H345" t="s">
        <v>13</v>
      </c>
      <c r="I345" t="s">
        <v>1070</v>
      </c>
      <c r="J345" s="14" t="s">
        <v>73</v>
      </c>
      <c r="K345">
        <v>3</v>
      </c>
      <c r="L345" t="s">
        <v>33</v>
      </c>
      <c r="M345">
        <f>Table1[[#This Row],[UnitPrice]]*Table1[[#This Row],[Quantity]]</f>
        <v>27618</v>
      </c>
      <c r="N345">
        <f>Table1[[#This Row],[Total Price]]*Table1[[#This Row],[Discount]]</f>
        <v>7733.0400000000009</v>
      </c>
      <c r="O345">
        <f>Table1[[#This Row],[Total Price]]-Table1[[#This Row],[Discount Amount]]</f>
        <v>19884.96</v>
      </c>
    </row>
    <row r="346" spans="1:15" x14ac:dyDescent="0.3">
      <c r="A346" t="s">
        <v>1071</v>
      </c>
      <c r="B346" s="1">
        <v>45722</v>
      </c>
      <c r="C346" t="s">
        <v>1072</v>
      </c>
      <c r="D346" t="s">
        <v>25</v>
      </c>
      <c r="E346">
        <v>2</v>
      </c>
      <c r="F346">
        <v>13084</v>
      </c>
      <c r="G346" s="9">
        <v>0.46</v>
      </c>
      <c r="H346" t="s">
        <v>20</v>
      </c>
      <c r="I346" t="s">
        <v>1073</v>
      </c>
      <c r="J346" s="13" t="s">
        <v>14</v>
      </c>
      <c r="K346">
        <v>3</v>
      </c>
      <c r="L346" t="s">
        <v>16</v>
      </c>
      <c r="M346">
        <f>Table1[[#This Row],[UnitPrice]]*Table1[[#This Row],[Quantity]]</f>
        <v>26168</v>
      </c>
      <c r="N346">
        <f>Table1[[#This Row],[Total Price]]*Table1[[#This Row],[Discount]]</f>
        <v>12037.28</v>
      </c>
      <c r="O346">
        <f>Table1[[#This Row],[Total Price]]-Table1[[#This Row],[Discount Amount]]</f>
        <v>14130.72</v>
      </c>
    </row>
    <row r="347" spans="1:15" x14ac:dyDescent="0.3">
      <c r="A347" t="s">
        <v>1074</v>
      </c>
      <c r="B347" s="1">
        <v>45267</v>
      </c>
      <c r="C347" t="s">
        <v>1075</v>
      </c>
      <c r="D347" t="s">
        <v>25</v>
      </c>
      <c r="E347">
        <v>3</v>
      </c>
      <c r="F347">
        <v>18777</v>
      </c>
      <c r="G347" s="9">
        <v>0.01</v>
      </c>
      <c r="H347" t="s">
        <v>45</v>
      </c>
      <c r="I347" t="s">
        <v>1076</v>
      </c>
      <c r="J347" s="14" t="s">
        <v>14</v>
      </c>
      <c r="K347">
        <v>10</v>
      </c>
      <c r="L347" t="s">
        <v>22</v>
      </c>
      <c r="M347">
        <f>Table1[[#This Row],[UnitPrice]]*Table1[[#This Row],[Quantity]]</f>
        <v>56331</v>
      </c>
      <c r="N347">
        <f>Table1[[#This Row],[Total Price]]*Table1[[#This Row],[Discount]]</f>
        <v>563.31000000000006</v>
      </c>
      <c r="O347">
        <f>Table1[[#This Row],[Total Price]]-Table1[[#This Row],[Discount Amount]]</f>
        <v>55767.69</v>
      </c>
    </row>
    <row r="348" spans="1:15" x14ac:dyDescent="0.3">
      <c r="A348" t="s">
        <v>1077</v>
      </c>
      <c r="B348" s="1">
        <v>45632</v>
      </c>
      <c r="C348" t="s">
        <v>1078</v>
      </c>
      <c r="D348" t="s">
        <v>25</v>
      </c>
      <c r="E348">
        <v>3</v>
      </c>
      <c r="F348">
        <v>6989</v>
      </c>
      <c r="G348" s="9">
        <v>0.2</v>
      </c>
      <c r="H348" t="s">
        <v>50</v>
      </c>
      <c r="I348" t="s">
        <v>1079</v>
      </c>
      <c r="J348" s="13" t="s">
        <v>73</v>
      </c>
      <c r="K348">
        <v>6</v>
      </c>
      <c r="L348" t="s">
        <v>22</v>
      </c>
      <c r="M348">
        <f>Table1[[#This Row],[UnitPrice]]*Table1[[#This Row],[Quantity]]</f>
        <v>20967</v>
      </c>
      <c r="N348">
        <f>Table1[[#This Row],[Total Price]]*Table1[[#This Row],[Discount]]</f>
        <v>4193.4000000000005</v>
      </c>
      <c r="O348">
        <f>Table1[[#This Row],[Total Price]]-Table1[[#This Row],[Discount Amount]]</f>
        <v>16773.599999999999</v>
      </c>
    </row>
    <row r="349" spans="1:15" x14ac:dyDescent="0.3">
      <c r="A349" t="s">
        <v>1080</v>
      </c>
      <c r="B349" s="1">
        <v>45325</v>
      </c>
      <c r="C349" t="s">
        <v>1081</v>
      </c>
      <c r="D349" t="s">
        <v>36</v>
      </c>
      <c r="E349">
        <v>2</v>
      </c>
      <c r="F349">
        <v>8673</v>
      </c>
      <c r="G349" s="9">
        <v>0.16</v>
      </c>
      <c r="H349" t="s">
        <v>26</v>
      </c>
      <c r="I349" t="s">
        <v>1082</v>
      </c>
      <c r="J349" s="14" t="s">
        <v>73</v>
      </c>
      <c r="K349">
        <v>5</v>
      </c>
      <c r="L349" t="s">
        <v>60</v>
      </c>
      <c r="M349">
        <f>Table1[[#This Row],[UnitPrice]]*Table1[[#This Row],[Quantity]]</f>
        <v>17346</v>
      </c>
      <c r="N349">
        <f>Table1[[#This Row],[Total Price]]*Table1[[#This Row],[Discount]]</f>
        <v>2775.36</v>
      </c>
      <c r="O349">
        <f>Table1[[#This Row],[Total Price]]-Table1[[#This Row],[Discount Amount]]</f>
        <v>14570.64</v>
      </c>
    </row>
    <row r="350" spans="1:15" x14ac:dyDescent="0.3">
      <c r="A350" t="s">
        <v>1083</v>
      </c>
      <c r="B350" s="1">
        <v>45364</v>
      </c>
      <c r="C350" t="s">
        <v>1084</v>
      </c>
      <c r="D350" t="s">
        <v>44</v>
      </c>
      <c r="E350">
        <v>2</v>
      </c>
      <c r="F350">
        <v>56375</v>
      </c>
      <c r="G350" s="9">
        <v>0.28999999999999998</v>
      </c>
      <c r="H350" t="s">
        <v>13</v>
      </c>
      <c r="I350" t="s">
        <v>1085</v>
      </c>
      <c r="J350" s="13" t="s">
        <v>73</v>
      </c>
      <c r="K350">
        <v>7</v>
      </c>
      <c r="L350" t="s">
        <v>28</v>
      </c>
      <c r="M350">
        <f>Table1[[#This Row],[UnitPrice]]*Table1[[#This Row],[Quantity]]</f>
        <v>112750</v>
      </c>
      <c r="N350">
        <f>Table1[[#This Row],[Total Price]]*Table1[[#This Row],[Discount]]</f>
        <v>32697.499999999996</v>
      </c>
      <c r="O350">
        <f>Table1[[#This Row],[Total Price]]-Table1[[#This Row],[Discount Amount]]</f>
        <v>80052.5</v>
      </c>
    </row>
    <row r="351" spans="1:15" x14ac:dyDescent="0.3">
      <c r="A351" t="s">
        <v>1086</v>
      </c>
      <c r="B351" s="1">
        <v>45260</v>
      </c>
      <c r="C351" t="s">
        <v>1087</v>
      </c>
      <c r="D351" t="s">
        <v>31</v>
      </c>
      <c r="E351">
        <v>2</v>
      </c>
      <c r="F351">
        <v>47338</v>
      </c>
      <c r="G351" s="9">
        <v>0</v>
      </c>
      <c r="H351" t="s">
        <v>45</v>
      </c>
      <c r="I351" t="s">
        <v>1088</v>
      </c>
      <c r="J351" s="14" t="s">
        <v>37</v>
      </c>
      <c r="K351">
        <v>2</v>
      </c>
      <c r="L351" t="s">
        <v>60</v>
      </c>
      <c r="M351">
        <f>Table1[[#This Row],[UnitPrice]]*Table1[[#This Row],[Quantity]]</f>
        <v>94676</v>
      </c>
      <c r="N351">
        <f>Table1[[#This Row],[Total Price]]*Table1[[#This Row],[Discount]]</f>
        <v>0</v>
      </c>
      <c r="O351">
        <f>Table1[[#This Row],[Total Price]]-Table1[[#This Row],[Discount Amount]]</f>
        <v>94676</v>
      </c>
    </row>
    <row r="352" spans="1:15" x14ac:dyDescent="0.3">
      <c r="A352" t="s">
        <v>1089</v>
      </c>
      <c r="B352" s="1">
        <v>45080</v>
      </c>
      <c r="C352" t="s">
        <v>1090</v>
      </c>
      <c r="D352" t="s">
        <v>31</v>
      </c>
      <c r="E352">
        <v>3</v>
      </c>
      <c r="F352">
        <v>34617</v>
      </c>
      <c r="G352" s="9">
        <v>0.36</v>
      </c>
      <c r="H352" t="s">
        <v>20</v>
      </c>
      <c r="I352" t="s">
        <v>1091</v>
      </c>
      <c r="J352" s="13" t="s">
        <v>14</v>
      </c>
      <c r="K352">
        <v>6</v>
      </c>
      <c r="L352" t="s">
        <v>16</v>
      </c>
      <c r="M352">
        <f>Table1[[#This Row],[UnitPrice]]*Table1[[#This Row],[Quantity]]</f>
        <v>103851</v>
      </c>
      <c r="N352">
        <f>Table1[[#This Row],[Total Price]]*Table1[[#This Row],[Discount]]</f>
        <v>37386.36</v>
      </c>
      <c r="O352">
        <f>Table1[[#This Row],[Total Price]]-Table1[[#This Row],[Discount Amount]]</f>
        <v>66464.639999999999</v>
      </c>
    </row>
    <row r="353" spans="1:15" x14ac:dyDescent="0.3">
      <c r="A353" t="s">
        <v>1092</v>
      </c>
      <c r="B353" s="1">
        <v>45703</v>
      </c>
      <c r="C353" t="s">
        <v>1093</v>
      </c>
      <c r="D353" t="s">
        <v>44</v>
      </c>
      <c r="E353">
        <v>2</v>
      </c>
      <c r="F353">
        <v>73804</v>
      </c>
      <c r="G353" s="9">
        <v>0.24</v>
      </c>
      <c r="H353" t="s">
        <v>13</v>
      </c>
      <c r="I353" t="s">
        <v>1094</v>
      </c>
      <c r="J353" s="14" t="s">
        <v>37</v>
      </c>
      <c r="K353">
        <v>4</v>
      </c>
      <c r="L353" t="s">
        <v>16</v>
      </c>
      <c r="M353">
        <f>Table1[[#This Row],[UnitPrice]]*Table1[[#This Row],[Quantity]]</f>
        <v>147608</v>
      </c>
      <c r="N353">
        <f>Table1[[#This Row],[Total Price]]*Table1[[#This Row],[Discount]]</f>
        <v>35425.919999999998</v>
      </c>
      <c r="O353">
        <f>Table1[[#This Row],[Total Price]]-Table1[[#This Row],[Discount Amount]]</f>
        <v>112182.08</v>
      </c>
    </row>
    <row r="354" spans="1:15" x14ac:dyDescent="0.3">
      <c r="A354" t="s">
        <v>1095</v>
      </c>
      <c r="B354" s="1">
        <v>45169</v>
      </c>
      <c r="C354" t="s">
        <v>1096</v>
      </c>
      <c r="D354" t="s">
        <v>31</v>
      </c>
      <c r="E354">
        <v>2</v>
      </c>
      <c r="F354">
        <v>48450</v>
      </c>
      <c r="G354" s="9">
        <v>0.35</v>
      </c>
      <c r="H354" t="s">
        <v>13</v>
      </c>
      <c r="I354" t="s">
        <v>1097</v>
      </c>
      <c r="J354" s="13" t="s">
        <v>73</v>
      </c>
      <c r="K354">
        <v>8</v>
      </c>
      <c r="L354" t="s">
        <v>16</v>
      </c>
      <c r="M354">
        <f>Table1[[#This Row],[UnitPrice]]*Table1[[#This Row],[Quantity]]</f>
        <v>96900</v>
      </c>
      <c r="N354">
        <f>Table1[[#This Row],[Total Price]]*Table1[[#This Row],[Discount]]</f>
        <v>33915</v>
      </c>
      <c r="O354">
        <f>Table1[[#This Row],[Total Price]]-Table1[[#This Row],[Discount Amount]]</f>
        <v>62985</v>
      </c>
    </row>
    <row r="355" spans="1:15" x14ac:dyDescent="0.3">
      <c r="A355" t="s">
        <v>1098</v>
      </c>
      <c r="B355" s="1">
        <v>45744</v>
      </c>
      <c r="C355" t="s">
        <v>1099</v>
      </c>
      <c r="D355" t="s">
        <v>25</v>
      </c>
      <c r="E355">
        <v>1</v>
      </c>
      <c r="F355">
        <v>8660</v>
      </c>
      <c r="G355" s="9">
        <v>0.22</v>
      </c>
      <c r="H355" t="s">
        <v>20</v>
      </c>
      <c r="I355" t="s">
        <v>1100</v>
      </c>
      <c r="J355" s="14" t="s">
        <v>37</v>
      </c>
      <c r="K355">
        <v>5</v>
      </c>
      <c r="L355" t="s">
        <v>60</v>
      </c>
      <c r="M355">
        <f>Table1[[#This Row],[UnitPrice]]*Table1[[#This Row],[Quantity]]</f>
        <v>8660</v>
      </c>
      <c r="N355">
        <f>Table1[[#This Row],[Total Price]]*Table1[[#This Row],[Discount]]</f>
        <v>1905.2</v>
      </c>
      <c r="O355">
        <f>Table1[[#This Row],[Total Price]]-Table1[[#This Row],[Discount Amount]]</f>
        <v>6754.8</v>
      </c>
    </row>
    <row r="356" spans="1:15" x14ac:dyDescent="0.3">
      <c r="A356" t="s">
        <v>1101</v>
      </c>
      <c r="B356" s="1">
        <v>45118</v>
      </c>
      <c r="C356" t="s">
        <v>1102</v>
      </c>
      <c r="D356" t="s">
        <v>19</v>
      </c>
      <c r="E356">
        <v>1</v>
      </c>
      <c r="F356">
        <v>15589</v>
      </c>
      <c r="G356" s="9">
        <v>0.24</v>
      </c>
      <c r="H356" t="s">
        <v>13</v>
      </c>
      <c r="I356" t="s">
        <v>1103</v>
      </c>
      <c r="J356" s="13" t="s">
        <v>14</v>
      </c>
      <c r="K356">
        <v>4</v>
      </c>
      <c r="L356" t="s">
        <v>16</v>
      </c>
      <c r="M356">
        <f>Table1[[#This Row],[UnitPrice]]*Table1[[#This Row],[Quantity]]</f>
        <v>15589</v>
      </c>
      <c r="N356">
        <f>Table1[[#This Row],[Total Price]]*Table1[[#This Row],[Discount]]</f>
        <v>3741.3599999999997</v>
      </c>
      <c r="O356">
        <f>Table1[[#This Row],[Total Price]]-Table1[[#This Row],[Discount Amount]]</f>
        <v>11847.64</v>
      </c>
    </row>
    <row r="357" spans="1:15" x14ac:dyDescent="0.3">
      <c r="A357" t="s">
        <v>1104</v>
      </c>
      <c r="B357" s="1">
        <v>45811</v>
      </c>
      <c r="C357" t="s">
        <v>1105</v>
      </c>
      <c r="D357" t="s">
        <v>25</v>
      </c>
      <c r="E357">
        <v>3</v>
      </c>
      <c r="F357">
        <v>17531</v>
      </c>
      <c r="G357" s="9">
        <v>0.45</v>
      </c>
      <c r="H357" t="s">
        <v>26</v>
      </c>
      <c r="I357" t="s">
        <v>1106</v>
      </c>
      <c r="J357" s="14" t="s">
        <v>73</v>
      </c>
      <c r="K357">
        <v>4</v>
      </c>
      <c r="L357" t="s">
        <v>22</v>
      </c>
      <c r="M357">
        <f>Table1[[#This Row],[UnitPrice]]*Table1[[#This Row],[Quantity]]</f>
        <v>52593</v>
      </c>
      <c r="N357">
        <f>Table1[[#This Row],[Total Price]]*Table1[[#This Row],[Discount]]</f>
        <v>23666.850000000002</v>
      </c>
      <c r="O357">
        <f>Table1[[#This Row],[Total Price]]-Table1[[#This Row],[Discount Amount]]</f>
        <v>28926.149999999998</v>
      </c>
    </row>
    <row r="358" spans="1:15" x14ac:dyDescent="0.3">
      <c r="A358" t="s">
        <v>1107</v>
      </c>
      <c r="B358" s="1">
        <v>45052</v>
      </c>
      <c r="C358" t="s">
        <v>1108</v>
      </c>
      <c r="D358" t="s">
        <v>36</v>
      </c>
      <c r="E358">
        <v>3</v>
      </c>
      <c r="F358">
        <v>8502</v>
      </c>
      <c r="G358" s="9">
        <v>0.11</v>
      </c>
      <c r="H358" t="s">
        <v>45</v>
      </c>
      <c r="I358" t="s">
        <v>1109</v>
      </c>
      <c r="J358" s="13" t="s">
        <v>73</v>
      </c>
      <c r="K358">
        <v>10</v>
      </c>
      <c r="L358" t="s">
        <v>16</v>
      </c>
      <c r="M358">
        <f>Table1[[#This Row],[UnitPrice]]*Table1[[#This Row],[Quantity]]</f>
        <v>25506</v>
      </c>
      <c r="N358">
        <f>Table1[[#This Row],[Total Price]]*Table1[[#This Row],[Discount]]</f>
        <v>2805.66</v>
      </c>
      <c r="O358">
        <f>Table1[[#This Row],[Total Price]]-Table1[[#This Row],[Discount Amount]]</f>
        <v>22700.34</v>
      </c>
    </row>
    <row r="359" spans="1:15" x14ac:dyDescent="0.3">
      <c r="A359" t="s">
        <v>1110</v>
      </c>
      <c r="B359" s="1">
        <v>45115</v>
      </c>
      <c r="C359" t="s">
        <v>1111</v>
      </c>
      <c r="D359" t="s">
        <v>44</v>
      </c>
      <c r="E359">
        <v>2</v>
      </c>
      <c r="F359">
        <v>77544</v>
      </c>
      <c r="G359" s="9">
        <v>0.11</v>
      </c>
      <c r="H359" t="s">
        <v>13</v>
      </c>
      <c r="I359" t="s">
        <v>1112</v>
      </c>
      <c r="J359" s="14" t="s">
        <v>37</v>
      </c>
      <c r="K359">
        <v>8</v>
      </c>
      <c r="L359" t="s">
        <v>16</v>
      </c>
      <c r="M359">
        <f>Table1[[#This Row],[UnitPrice]]*Table1[[#This Row],[Quantity]]</f>
        <v>155088</v>
      </c>
      <c r="N359">
        <f>Table1[[#This Row],[Total Price]]*Table1[[#This Row],[Discount]]</f>
        <v>17059.68</v>
      </c>
      <c r="O359">
        <f>Table1[[#This Row],[Total Price]]-Table1[[#This Row],[Discount Amount]]</f>
        <v>138028.32</v>
      </c>
    </row>
    <row r="360" spans="1:15" x14ac:dyDescent="0.3">
      <c r="A360" t="s">
        <v>1113</v>
      </c>
      <c r="B360" s="1">
        <v>45389</v>
      </c>
      <c r="C360" t="s">
        <v>1114</v>
      </c>
      <c r="D360" t="s">
        <v>25</v>
      </c>
      <c r="E360">
        <v>2</v>
      </c>
      <c r="F360">
        <v>1368</v>
      </c>
      <c r="G360" s="9">
        <v>0.28000000000000003</v>
      </c>
      <c r="H360" t="s">
        <v>20</v>
      </c>
      <c r="I360" t="s">
        <v>1115</v>
      </c>
      <c r="J360" s="13" t="s">
        <v>73</v>
      </c>
      <c r="K360">
        <v>3</v>
      </c>
      <c r="L360" t="s">
        <v>60</v>
      </c>
      <c r="M360">
        <f>Table1[[#This Row],[UnitPrice]]*Table1[[#This Row],[Quantity]]</f>
        <v>2736</v>
      </c>
      <c r="N360">
        <f>Table1[[#This Row],[Total Price]]*Table1[[#This Row],[Discount]]</f>
        <v>766.08</v>
      </c>
      <c r="O360">
        <f>Table1[[#This Row],[Total Price]]-Table1[[#This Row],[Discount Amount]]</f>
        <v>1969.92</v>
      </c>
    </row>
    <row r="361" spans="1:15" x14ac:dyDescent="0.3">
      <c r="A361" t="s">
        <v>1116</v>
      </c>
      <c r="B361" s="1">
        <v>45086</v>
      </c>
      <c r="C361" t="s">
        <v>1117</v>
      </c>
      <c r="D361" t="s">
        <v>58</v>
      </c>
      <c r="E361">
        <v>1</v>
      </c>
      <c r="F361">
        <v>5022</v>
      </c>
      <c r="G361" s="9">
        <v>0.33</v>
      </c>
      <c r="H361" t="s">
        <v>13</v>
      </c>
      <c r="I361" t="s">
        <v>1118</v>
      </c>
      <c r="J361" s="14" t="s">
        <v>37</v>
      </c>
      <c r="K361">
        <v>5</v>
      </c>
      <c r="L361" t="s">
        <v>22</v>
      </c>
      <c r="M361">
        <f>Table1[[#This Row],[UnitPrice]]*Table1[[#This Row],[Quantity]]</f>
        <v>5022</v>
      </c>
      <c r="N361">
        <f>Table1[[#This Row],[Total Price]]*Table1[[#This Row],[Discount]]</f>
        <v>1657.26</v>
      </c>
      <c r="O361">
        <f>Table1[[#This Row],[Total Price]]-Table1[[#This Row],[Discount Amount]]</f>
        <v>3364.74</v>
      </c>
    </row>
    <row r="362" spans="1:15" x14ac:dyDescent="0.3">
      <c r="A362" t="s">
        <v>1119</v>
      </c>
      <c r="B362" s="1">
        <v>45449</v>
      </c>
      <c r="C362" t="s">
        <v>1120</v>
      </c>
      <c r="D362" t="s">
        <v>19</v>
      </c>
      <c r="E362">
        <v>3</v>
      </c>
      <c r="F362">
        <v>30129</v>
      </c>
      <c r="G362" s="9">
        <v>0.18</v>
      </c>
      <c r="H362" t="s">
        <v>50</v>
      </c>
      <c r="I362" t="s">
        <v>1121</v>
      </c>
      <c r="J362" s="13" t="s">
        <v>73</v>
      </c>
      <c r="K362">
        <v>8</v>
      </c>
      <c r="L362" t="s">
        <v>16</v>
      </c>
      <c r="M362">
        <f>Table1[[#This Row],[UnitPrice]]*Table1[[#This Row],[Quantity]]</f>
        <v>90387</v>
      </c>
      <c r="N362">
        <f>Table1[[#This Row],[Total Price]]*Table1[[#This Row],[Discount]]</f>
        <v>16269.66</v>
      </c>
      <c r="O362">
        <f>Table1[[#This Row],[Total Price]]-Table1[[#This Row],[Discount Amount]]</f>
        <v>74117.34</v>
      </c>
    </row>
    <row r="363" spans="1:15" x14ac:dyDescent="0.3">
      <c r="A363" t="s">
        <v>1122</v>
      </c>
      <c r="B363" s="1">
        <v>45472</v>
      </c>
      <c r="C363" t="s">
        <v>1123</v>
      </c>
      <c r="D363" t="s">
        <v>36</v>
      </c>
      <c r="E363">
        <v>2</v>
      </c>
      <c r="F363">
        <v>7375</v>
      </c>
      <c r="G363" s="9">
        <v>0.26</v>
      </c>
      <c r="H363" t="s">
        <v>26</v>
      </c>
      <c r="I363" t="s">
        <v>1124</v>
      </c>
      <c r="J363" s="14" t="s">
        <v>37</v>
      </c>
      <c r="K363">
        <v>9</v>
      </c>
      <c r="L363" t="s">
        <v>33</v>
      </c>
      <c r="M363">
        <f>Table1[[#This Row],[UnitPrice]]*Table1[[#This Row],[Quantity]]</f>
        <v>14750</v>
      </c>
      <c r="N363">
        <f>Table1[[#This Row],[Total Price]]*Table1[[#This Row],[Discount]]</f>
        <v>3835</v>
      </c>
      <c r="O363">
        <f>Table1[[#This Row],[Total Price]]-Table1[[#This Row],[Discount Amount]]</f>
        <v>10915</v>
      </c>
    </row>
    <row r="364" spans="1:15" x14ac:dyDescent="0.3">
      <c r="A364" t="s">
        <v>1125</v>
      </c>
      <c r="B364" s="1">
        <v>45104</v>
      </c>
      <c r="C364" t="s">
        <v>1126</v>
      </c>
      <c r="D364" t="s">
        <v>12</v>
      </c>
      <c r="E364">
        <v>3</v>
      </c>
      <c r="F364">
        <v>8324</v>
      </c>
      <c r="G364" s="9">
        <v>0.11</v>
      </c>
      <c r="H364" t="s">
        <v>50</v>
      </c>
      <c r="I364" t="s">
        <v>1127</v>
      </c>
      <c r="J364" s="13" t="s">
        <v>73</v>
      </c>
      <c r="K364">
        <v>5</v>
      </c>
      <c r="L364" t="s">
        <v>16</v>
      </c>
      <c r="M364">
        <f>Table1[[#This Row],[UnitPrice]]*Table1[[#This Row],[Quantity]]</f>
        <v>24972</v>
      </c>
      <c r="N364">
        <f>Table1[[#This Row],[Total Price]]*Table1[[#This Row],[Discount]]</f>
        <v>2746.92</v>
      </c>
      <c r="O364">
        <f>Table1[[#This Row],[Total Price]]-Table1[[#This Row],[Discount Amount]]</f>
        <v>22225.08</v>
      </c>
    </row>
    <row r="365" spans="1:15" x14ac:dyDescent="0.3">
      <c r="A365" t="s">
        <v>1128</v>
      </c>
      <c r="B365" s="1">
        <v>45436</v>
      </c>
      <c r="C365" t="s">
        <v>1129</v>
      </c>
      <c r="D365" t="s">
        <v>44</v>
      </c>
      <c r="E365">
        <v>3</v>
      </c>
      <c r="F365">
        <v>51682</v>
      </c>
      <c r="G365" s="9">
        <v>7.0000000000000007E-2</v>
      </c>
      <c r="H365" t="s">
        <v>26</v>
      </c>
      <c r="I365" t="s">
        <v>1130</v>
      </c>
      <c r="J365" s="14" t="s">
        <v>73</v>
      </c>
      <c r="K365">
        <v>6</v>
      </c>
      <c r="L365" t="s">
        <v>28</v>
      </c>
      <c r="M365">
        <f>Table1[[#This Row],[UnitPrice]]*Table1[[#This Row],[Quantity]]</f>
        <v>155046</v>
      </c>
      <c r="N365">
        <f>Table1[[#This Row],[Total Price]]*Table1[[#This Row],[Discount]]</f>
        <v>10853.220000000001</v>
      </c>
      <c r="O365">
        <f>Table1[[#This Row],[Total Price]]-Table1[[#This Row],[Discount Amount]]</f>
        <v>144192.78</v>
      </c>
    </row>
    <row r="366" spans="1:15" x14ac:dyDescent="0.3">
      <c r="A366" t="s">
        <v>1131</v>
      </c>
      <c r="B366" s="1">
        <v>45254</v>
      </c>
      <c r="C366" t="s">
        <v>1132</v>
      </c>
      <c r="D366" t="s">
        <v>19</v>
      </c>
      <c r="E366">
        <v>2</v>
      </c>
      <c r="F366">
        <v>26749</v>
      </c>
      <c r="G366" s="9">
        <v>0.12</v>
      </c>
      <c r="H366" t="s">
        <v>50</v>
      </c>
      <c r="I366" t="s">
        <v>1133</v>
      </c>
      <c r="J366" s="13" t="s">
        <v>73</v>
      </c>
      <c r="K366">
        <v>9</v>
      </c>
      <c r="L366" t="s">
        <v>33</v>
      </c>
      <c r="M366">
        <f>Table1[[#This Row],[UnitPrice]]*Table1[[#This Row],[Quantity]]</f>
        <v>53498</v>
      </c>
      <c r="N366">
        <f>Table1[[#This Row],[Total Price]]*Table1[[#This Row],[Discount]]</f>
        <v>6419.7599999999993</v>
      </c>
      <c r="O366">
        <f>Table1[[#This Row],[Total Price]]-Table1[[#This Row],[Discount Amount]]</f>
        <v>47078.239999999998</v>
      </c>
    </row>
    <row r="367" spans="1:15" x14ac:dyDescent="0.3">
      <c r="A367" t="s">
        <v>1134</v>
      </c>
      <c r="B367" s="1">
        <v>45702</v>
      </c>
      <c r="C367" t="s">
        <v>1135</v>
      </c>
      <c r="D367" t="s">
        <v>19</v>
      </c>
      <c r="E367">
        <v>1</v>
      </c>
      <c r="F367">
        <v>46422</v>
      </c>
      <c r="G367" s="9">
        <v>0.46</v>
      </c>
      <c r="H367" t="s">
        <v>26</v>
      </c>
      <c r="I367" t="s">
        <v>1136</v>
      </c>
      <c r="J367" s="14" t="s">
        <v>14</v>
      </c>
      <c r="K367">
        <v>4</v>
      </c>
      <c r="L367" t="s">
        <v>22</v>
      </c>
      <c r="M367">
        <f>Table1[[#This Row],[UnitPrice]]*Table1[[#This Row],[Quantity]]</f>
        <v>46422</v>
      </c>
      <c r="N367">
        <f>Table1[[#This Row],[Total Price]]*Table1[[#This Row],[Discount]]</f>
        <v>21354.120000000003</v>
      </c>
      <c r="O367">
        <f>Table1[[#This Row],[Total Price]]-Table1[[#This Row],[Discount Amount]]</f>
        <v>25067.879999999997</v>
      </c>
    </row>
    <row r="368" spans="1:15" x14ac:dyDescent="0.3">
      <c r="A368" t="s">
        <v>1137</v>
      </c>
      <c r="B368" s="1">
        <v>44967</v>
      </c>
      <c r="C368" t="s">
        <v>1138</v>
      </c>
      <c r="D368" t="s">
        <v>36</v>
      </c>
      <c r="E368">
        <v>1</v>
      </c>
      <c r="F368">
        <v>6853</v>
      </c>
      <c r="G368" s="9">
        <v>0.4</v>
      </c>
      <c r="H368" t="s">
        <v>13</v>
      </c>
      <c r="I368" t="s">
        <v>1139</v>
      </c>
      <c r="J368" s="13" t="s">
        <v>73</v>
      </c>
      <c r="K368">
        <v>8</v>
      </c>
      <c r="L368" t="s">
        <v>22</v>
      </c>
      <c r="M368">
        <f>Table1[[#This Row],[UnitPrice]]*Table1[[#This Row],[Quantity]]</f>
        <v>6853</v>
      </c>
      <c r="N368">
        <f>Table1[[#This Row],[Total Price]]*Table1[[#This Row],[Discount]]</f>
        <v>2741.2000000000003</v>
      </c>
      <c r="O368">
        <f>Table1[[#This Row],[Total Price]]-Table1[[#This Row],[Discount Amount]]</f>
        <v>4111.7999999999993</v>
      </c>
    </row>
    <row r="369" spans="1:15" x14ac:dyDescent="0.3">
      <c r="A369" t="s">
        <v>1140</v>
      </c>
      <c r="B369" s="1">
        <v>45407</v>
      </c>
      <c r="C369" t="s">
        <v>1141</v>
      </c>
      <c r="D369" t="s">
        <v>44</v>
      </c>
      <c r="E369">
        <v>2</v>
      </c>
      <c r="F369">
        <v>34177</v>
      </c>
      <c r="G369" s="9">
        <v>7.0000000000000007E-2</v>
      </c>
      <c r="H369" t="s">
        <v>45</v>
      </c>
      <c r="I369" t="s">
        <v>1142</v>
      </c>
      <c r="J369" s="14" t="s">
        <v>73</v>
      </c>
      <c r="K369">
        <v>10</v>
      </c>
      <c r="L369" t="s">
        <v>16</v>
      </c>
      <c r="M369">
        <f>Table1[[#This Row],[UnitPrice]]*Table1[[#This Row],[Quantity]]</f>
        <v>68354</v>
      </c>
      <c r="N369">
        <f>Table1[[#This Row],[Total Price]]*Table1[[#This Row],[Discount]]</f>
        <v>4784.7800000000007</v>
      </c>
      <c r="O369">
        <f>Table1[[#This Row],[Total Price]]-Table1[[#This Row],[Discount Amount]]</f>
        <v>63569.22</v>
      </c>
    </row>
    <row r="370" spans="1:15" x14ac:dyDescent="0.3">
      <c r="A370" t="s">
        <v>1143</v>
      </c>
      <c r="B370" s="1">
        <v>45047</v>
      </c>
      <c r="C370" t="s">
        <v>1144</v>
      </c>
      <c r="D370" t="s">
        <v>12</v>
      </c>
      <c r="E370">
        <v>3</v>
      </c>
      <c r="F370">
        <v>5757</v>
      </c>
      <c r="G370" s="9">
        <v>0.02</v>
      </c>
      <c r="H370" t="s">
        <v>26</v>
      </c>
      <c r="I370" t="s">
        <v>1145</v>
      </c>
      <c r="J370" s="13" t="s">
        <v>37</v>
      </c>
      <c r="K370">
        <v>6</v>
      </c>
      <c r="L370" t="s">
        <v>60</v>
      </c>
      <c r="M370">
        <f>Table1[[#This Row],[UnitPrice]]*Table1[[#This Row],[Quantity]]</f>
        <v>17271</v>
      </c>
      <c r="N370">
        <f>Table1[[#This Row],[Total Price]]*Table1[[#This Row],[Discount]]</f>
        <v>345.42</v>
      </c>
      <c r="O370">
        <f>Table1[[#This Row],[Total Price]]-Table1[[#This Row],[Discount Amount]]</f>
        <v>16925.580000000002</v>
      </c>
    </row>
    <row r="371" spans="1:15" x14ac:dyDescent="0.3">
      <c r="A371" t="s">
        <v>1146</v>
      </c>
      <c r="B371" s="1">
        <v>45648</v>
      </c>
      <c r="C371" t="s">
        <v>1147</v>
      </c>
      <c r="D371" t="s">
        <v>12</v>
      </c>
      <c r="E371">
        <v>1</v>
      </c>
      <c r="F371">
        <v>6107</v>
      </c>
      <c r="G371" s="9">
        <v>0.05</v>
      </c>
      <c r="H371" t="s">
        <v>45</v>
      </c>
      <c r="I371" t="s">
        <v>1148</v>
      </c>
      <c r="J371" s="14" t="s">
        <v>73</v>
      </c>
      <c r="K371">
        <v>9</v>
      </c>
      <c r="L371" t="s">
        <v>28</v>
      </c>
      <c r="M371">
        <f>Table1[[#This Row],[UnitPrice]]*Table1[[#This Row],[Quantity]]</f>
        <v>6107</v>
      </c>
      <c r="N371">
        <f>Table1[[#This Row],[Total Price]]*Table1[[#This Row],[Discount]]</f>
        <v>305.35000000000002</v>
      </c>
      <c r="O371">
        <f>Table1[[#This Row],[Total Price]]-Table1[[#This Row],[Discount Amount]]</f>
        <v>5801.65</v>
      </c>
    </row>
    <row r="372" spans="1:15" x14ac:dyDescent="0.3">
      <c r="A372" t="s">
        <v>1149</v>
      </c>
      <c r="B372" s="1">
        <v>45780</v>
      </c>
      <c r="C372" t="s">
        <v>1150</v>
      </c>
      <c r="D372" t="s">
        <v>19</v>
      </c>
      <c r="E372">
        <v>3</v>
      </c>
      <c r="F372">
        <v>18943</v>
      </c>
      <c r="G372" s="9">
        <v>0.15</v>
      </c>
      <c r="H372" t="s">
        <v>20</v>
      </c>
      <c r="I372" t="s">
        <v>1151</v>
      </c>
      <c r="J372" s="13" t="s">
        <v>37</v>
      </c>
      <c r="K372">
        <v>4</v>
      </c>
      <c r="L372" t="s">
        <v>33</v>
      </c>
      <c r="M372">
        <f>Table1[[#This Row],[UnitPrice]]*Table1[[#This Row],[Quantity]]</f>
        <v>56829</v>
      </c>
      <c r="N372">
        <f>Table1[[#This Row],[Total Price]]*Table1[[#This Row],[Discount]]</f>
        <v>8524.35</v>
      </c>
      <c r="O372">
        <f>Table1[[#This Row],[Total Price]]-Table1[[#This Row],[Discount Amount]]</f>
        <v>48304.65</v>
      </c>
    </row>
    <row r="373" spans="1:15" x14ac:dyDescent="0.3">
      <c r="A373" t="s">
        <v>1152</v>
      </c>
      <c r="B373" s="1">
        <v>44931</v>
      </c>
      <c r="C373" t="s">
        <v>1153</v>
      </c>
      <c r="D373" t="s">
        <v>19</v>
      </c>
      <c r="E373">
        <v>3</v>
      </c>
      <c r="F373">
        <v>47921</v>
      </c>
      <c r="G373" s="9">
        <v>0.41</v>
      </c>
      <c r="H373" t="s">
        <v>45</v>
      </c>
      <c r="I373" t="s">
        <v>1154</v>
      </c>
      <c r="J373" s="14" t="s">
        <v>73</v>
      </c>
      <c r="K373">
        <v>9</v>
      </c>
      <c r="L373" t="s">
        <v>60</v>
      </c>
      <c r="M373">
        <f>Table1[[#This Row],[UnitPrice]]*Table1[[#This Row],[Quantity]]</f>
        <v>143763</v>
      </c>
      <c r="N373">
        <f>Table1[[#This Row],[Total Price]]*Table1[[#This Row],[Discount]]</f>
        <v>58942.829999999994</v>
      </c>
      <c r="O373">
        <f>Table1[[#This Row],[Total Price]]-Table1[[#This Row],[Discount Amount]]</f>
        <v>84820.170000000013</v>
      </c>
    </row>
    <row r="374" spans="1:15" x14ac:dyDescent="0.3">
      <c r="A374" t="s">
        <v>1155</v>
      </c>
      <c r="B374" s="1">
        <v>45702</v>
      </c>
      <c r="C374" t="s">
        <v>1156</v>
      </c>
      <c r="D374" t="s">
        <v>31</v>
      </c>
      <c r="E374">
        <v>2</v>
      </c>
      <c r="F374">
        <v>33969</v>
      </c>
      <c r="G374" s="9">
        <v>0.16</v>
      </c>
      <c r="H374" t="s">
        <v>50</v>
      </c>
      <c r="I374" t="s">
        <v>1157</v>
      </c>
      <c r="J374" s="13" t="s">
        <v>14</v>
      </c>
      <c r="K374">
        <v>4</v>
      </c>
      <c r="L374" t="s">
        <v>22</v>
      </c>
      <c r="M374">
        <f>Table1[[#This Row],[UnitPrice]]*Table1[[#This Row],[Quantity]]</f>
        <v>67938</v>
      </c>
      <c r="N374">
        <f>Table1[[#This Row],[Total Price]]*Table1[[#This Row],[Discount]]</f>
        <v>10870.08</v>
      </c>
      <c r="O374">
        <f>Table1[[#This Row],[Total Price]]-Table1[[#This Row],[Discount Amount]]</f>
        <v>57067.92</v>
      </c>
    </row>
    <row r="375" spans="1:15" x14ac:dyDescent="0.3">
      <c r="A375" t="s">
        <v>1158</v>
      </c>
      <c r="B375" s="1">
        <v>44928</v>
      </c>
      <c r="C375" t="s">
        <v>1159</v>
      </c>
      <c r="D375" t="s">
        <v>44</v>
      </c>
      <c r="E375">
        <v>3</v>
      </c>
      <c r="F375">
        <v>74690</v>
      </c>
      <c r="G375" s="9">
        <v>0.09</v>
      </c>
      <c r="H375" t="s">
        <v>50</v>
      </c>
      <c r="I375" t="s">
        <v>1160</v>
      </c>
      <c r="J375" s="14" t="s">
        <v>73</v>
      </c>
      <c r="K375">
        <v>4</v>
      </c>
      <c r="L375" t="s">
        <v>16</v>
      </c>
      <c r="M375">
        <f>Table1[[#This Row],[UnitPrice]]*Table1[[#This Row],[Quantity]]</f>
        <v>224070</v>
      </c>
      <c r="N375">
        <f>Table1[[#This Row],[Total Price]]*Table1[[#This Row],[Discount]]</f>
        <v>20166.3</v>
      </c>
      <c r="O375">
        <f>Table1[[#This Row],[Total Price]]-Table1[[#This Row],[Discount Amount]]</f>
        <v>203903.7</v>
      </c>
    </row>
    <row r="376" spans="1:15" x14ac:dyDescent="0.3">
      <c r="A376" t="s">
        <v>1161</v>
      </c>
      <c r="B376" s="1">
        <v>45551</v>
      </c>
      <c r="C376" t="s">
        <v>1162</v>
      </c>
      <c r="D376" t="s">
        <v>12</v>
      </c>
      <c r="E376">
        <v>1</v>
      </c>
      <c r="F376">
        <v>7790</v>
      </c>
      <c r="G376" s="9">
        <v>0.2</v>
      </c>
      <c r="H376" t="s">
        <v>45</v>
      </c>
      <c r="I376" t="s">
        <v>1163</v>
      </c>
      <c r="J376" s="13" t="s">
        <v>73</v>
      </c>
      <c r="K376">
        <v>1</v>
      </c>
      <c r="L376" t="s">
        <v>16</v>
      </c>
      <c r="M376">
        <f>Table1[[#This Row],[UnitPrice]]*Table1[[#This Row],[Quantity]]</f>
        <v>7790</v>
      </c>
      <c r="N376">
        <f>Table1[[#This Row],[Total Price]]*Table1[[#This Row],[Discount]]</f>
        <v>1558</v>
      </c>
      <c r="O376">
        <f>Table1[[#This Row],[Total Price]]-Table1[[#This Row],[Discount Amount]]</f>
        <v>6232</v>
      </c>
    </row>
    <row r="377" spans="1:15" x14ac:dyDescent="0.3">
      <c r="A377" t="s">
        <v>1164</v>
      </c>
      <c r="B377" s="1">
        <v>45673</v>
      </c>
      <c r="C377" t="s">
        <v>1165</v>
      </c>
      <c r="D377" t="s">
        <v>12</v>
      </c>
      <c r="E377">
        <v>2</v>
      </c>
      <c r="F377">
        <v>7741</v>
      </c>
      <c r="G377" s="9">
        <v>0.06</v>
      </c>
      <c r="H377" t="s">
        <v>20</v>
      </c>
      <c r="I377" t="s">
        <v>1166</v>
      </c>
      <c r="J377" s="14" t="s">
        <v>14</v>
      </c>
      <c r="K377">
        <v>8</v>
      </c>
      <c r="L377" t="s">
        <v>33</v>
      </c>
      <c r="M377">
        <f>Table1[[#This Row],[UnitPrice]]*Table1[[#This Row],[Quantity]]</f>
        <v>15482</v>
      </c>
      <c r="N377">
        <f>Table1[[#This Row],[Total Price]]*Table1[[#This Row],[Discount]]</f>
        <v>928.92</v>
      </c>
      <c r="O377">
        <f>Table1[[#This Row],[Total Price]]-Table1[[#This Row],[Discount Amount]]</f>
        <v>14553.08</v>
      </c>
    </row>
    <row r="378" spans="1:15" x14ac:dyDescent="0.3">
      <c r="A378" t="s">
        <v>1167</v>
      </c>
      <c r="B378" s="1">
        <v>45162</v>
      </c>
      <c r="C378" t="s">
        <v>1168</v>
      </c>
      <c r="D378" t="s">
        <v>12</v>
      </c>
      <c r="E378">
        <v>1</v>
      </c>
      <c r="F378">
        <v>5191</v>
      </c>
      <c r="G378" s="9">
        <v>0.24</v>
      </c>
      <c r="H378" t="s">
        <v>13</v>
      </c>
      <c r="I378" t="s">
        <v>1169</v>
      </c>
      <c r="J378" s="13" t="s">
        <v>73</v>
      </c>
      <c r="K378">
        <v>6</v>
      </c>
      <c r="L378" t="s">
        <v>33</v>
      </c>
      <c r="M378">
        <f>Table1[[#This Row],[UnitPrice]]*Table1[[#This Row],[Quantity]]</f>
        <v>5191</v>
      </c>
      <c r="N378">
        <f>Table1[[#This Row],[Total Price]]*Table1[[#This Row],[Discount]]</f>
        <v>1245.8399999999999</v>
      </c>
      <c r="O378">
        <f>Table1[[#This Row],[Total Price]]-Table1[[#This Row],[Discount Amount]]</f>
        <v>3945.16</v>
      </c>
    </row>
    <row r="379" spans="1:15" x14ac:dyDescent="0.3">
      <c r="A379" t="s">
        <v>1170</v>
      </c>
      <c r="B379" s="1">
        <v>45495</v>
      </c>
      <c r="C379" t="s">
        <v>1171</v>
      </c>
      <c r="D379" t="s">
        <v>12</v>
      </c>
      <c r="E379">
        <v>1</v>
      </c>
      <c r="F379">
        <v>7279</v>
      </c>
      <c r="G379" s="9">
        <v>0.34</v>
      </c>
      <c r="H379" t="s">
        <v>20</v>
      </c>
      <c r="I379" t="s">
        <v>1172</v>
      </c>
      <c r="J379" s="14" t="s">
        <v>73</v>
      </c>
      <c r="K379">
        <v>5</v>
      </c>
      <c r="L379" t="s">
        <v>16</v>
      </c>
      <c r="M379">
        <f>Table1[[#This Row],[UnitPrice]]*Table1[[#This Row],[Quantity]]</f>
        <v>7279</v>
      </c>
      <c r="N379">
        <f>Table1[[#This Row],[Total Price]]*Table1[[#This Row],[Discount]]</f>
        <v>2474.86</v>
      </c>
      <c r="O379">
        <f>Table1[[#This Row],[Total Price]]-Table1[[#This Row],[Discount Amount]]</f>
        <v>4804.1399999999994</v>
      </c>
    </row>
    <row r="380" spans="1:15" x14ac:dyDescent="0.3">
      <c r="A380" t="s">
        <v>1173</v>
      </c>
      <c r="B380" s="1">
        <v>45323</v>
      </c>
      <c r="C380" t="s">
        <v>1174</v>
      </c>
      <c r="D380" t="s">
        <v>31</v>
      </c>
      <c r="E380">
        <v>3</v>
      </c>
      <c r="F380">
        <v>24501</v>
      </c>
      <c r="G380" s="9">
        <v>0.18</v>
      </c>
      <c r="H380" t="s">
        <v>26</v>
      </c>
      <c r="I380" t="s">
        <v>1175</v>
      </c>
      <c r="J380" s="13" t="s">
        <v>73</v>
      </c>
      <c r="K380">
        <v>8</v>
      </c>
      <c r="L380" t="s">
        <v>16</v>
      </c>
      <c r="M380">
        <f>Table1[[#This Row],[UnitPrice]]*Table1[[#This Row],[Quantity]]</f>
        <v>73503</v>
      </c>
      <c r="N380">
        <f>Table1[[#This Row],[Total Price]]*Table1[[#This Row],[Discount]]</f>
        <v>13230.539999999999</v>
      </c>
      <c r="O380">
        <f>Table1[[#This Row],[Total Price]]-Table1[[#This Row],[Discount Amount]]</f>
        <v>60272.46</v>
      </c>
    </row>
    <row r="381" spans="1:15" x14ac:dyDescent="0.3">
      <c r="A381" t="s">
        <v>1176</v>
      </c>
      <c r="B381" s="1">
        <v>45556</v>
      </c>
      <c r="C381" t="s">
        <v>1177</v>
      </c>
      <c r="D381" t="s">
        <v>19</v>
      </c>
      <c r="E381">
        <v>3</v>
      </c>
      <c r="F381">
        <v>22578</v>
      </c>
      <c r="G381" s="9">
        <v>0.09</v>
      </c>
      <c r="H381" t="s">
        <v>20</v>
      </c>
      <c r="I381" t="s">
        <v>1178</v>
      </c>
      <c r="J381" s="14" t="s">
        <v>14</v>
      </c>
      <c r="K381">
        <v>6</v>
      </c>
      <c r="L381" t="s">
        <v>60</v>
      </c>
      <c r="M381">
        <f>Table1[[#This Row],[UnitPrice]]*Table1[[#This Row],[Quantity]]</f>
        <v>67734</v>
      </c>
      <c r="N381">
        <f>Table1[[#This Row],[Total Price]]*Table1[[#This Row],[Discount]]</f>
        <v>6096.0599999999995</v>
      </c>
      <c r="O381">
        <f>Table1[[#This Row],[Total Price]]-Table1[[#This Row],[Discount Amount]]</f>
        <v>61637.94</v>
      </c>
    </row>
    <row r="382" spans="1:15" x14ac:dyDescent="0.3">
      <c r="A382" t="s">
        <v>1179</v>
      </c>
      <c r="B382" s="1">
        <v>45402</v>
      </c>
      <c r="C382" t="s">
        <v>1180</v>
      </c>
      <c r="D382" t="s">
        <v>36</v>
      </c>
      <c r="E382">
        <v>2</v>
      </c>
      <c r="F382">
        <v>6572</v>
      </c>
      <c r="G382" s="9">
        <v>0.23</v>
      </c>
      <c r="H382" t="s">
        <v>50</v>
      </c>
      <c r="I382" t="s">
        <v>1181</v>
      </c>
      <c r="J382" s="13" t="s">
        <v>73</v>
      </c>
      <c r="K382">
        <v>5</v>
      </c>
      <c r="L382" t="s">
        <v>16</v>
      </c>
      <c r="M382">
        <f>Table1[[#This Row],[UnitPrice]]*Table1[[#This Row],[Quantity]]</f>
        <v>13144</v>
      </c>
      <c r="N382">
        <f>Table1[[#This Row],[Total Price]]*Table1[[#This Row],[Discount]]</f>
        <v>3023.1200000000003</v>
      </c>
      <c r="O382">
        <f>Table1[[#This Row],[Total Price]]-Table1[[#This Row],[Discount Amount]]</f>
        <v>10120.879999999999</v>
      </c>
    </row>
    <row r="383" spans="1:15" x14ac:dyDescent="0.3">
      <c r="A383" t="s">
        <v>1182</v>
      </c>
      <c r="B383" s="1">
        <v>45084</v>
      </c>
      <c r="C383" t="s">
        <v>1183</v>
      </c>
      <c r="D383" t="s">
        <v>31</v>
      </c>
      <c r="E383">
        <v>2</v>
      </c>
      <c r="F383">
        <v>25163</v>
      </c>
      <c r="G383" s="9">
        <v>0.38</v>
      </c>
      <c r="H383" t="s">
        <v>26</v>
      </c>
      <c r="I383" t="s">
        <v>1184</v>
      </c>
      <c r="J383" s="14" t="s">
        <v>37</v>
      </c>
      <c r="K383">
        <v>1</v>
      </c>
      <c r="L383" t="s">
        <v>16</v>
      </c>
      <c r="M383">
        <f>Table1[[#This Row],[UnitPrice]]*Table1[[#This Row],[Quantity]]</f>
        <v>50326</v>
      </c>
      <c r="N383">
        <f>Table1[[#This Row],[Total Price]]*Table1[[#This Row],[Discount]]</f>
        <v>19123.88</v>
      </c>
      <c r="O383">
        <f>Table1[[#This Row],[Total Price]]-Table1[[#This Row],[Discount Amount]]</f>
        <v>31202.12</v>
      </c>
    </row>
    <row r="384" spans="1:15" x14ac:dyDescent="0.3">
      <c r="A384" t="s">
        <v>1185</v>
      </c>
      <c r="B384" s="1">
        <v>45687</v>
      </c>
      <c r="C384" t="s">
        <v>1186</v>
      </c>
      <c r="D384" t="s">
        <v>36</v>
      </c>
      <c r="E384">
        <v>3</v>
      </c>
      <c r="F384">
        <v>6738</v>
      </c>
      <c r="G384" s="9">
        <v>0.04</v>
      </c>
      <c r="H384" t="s">
        <v>13</v>
      </c>
      <c r="I384" t="s">
        <v>1187</v>
      </c>
      <c r="J384" s="13" t="s">
        <v>14</v>
      </c>
      <c r="K384">
        <v>8</v>
      </c>
      <c r="L384" t="s">
        <v>60</v>
      </c>
      <c r="M384">
        <f>Table1[[#This Row],[UnitPrice]]*Table1[[#This Row],[Quantity]]</f>
        <v>20214</v>
      </c>
      <c r="N384">
        <f>Table1[[#This Row],[Total Price]]*Table1[[#This Row],[Discount]]</f>
        <v>808.56000000000006</v>
      </c>
      <c r="O384">
        <f>Table1[[#This Row],[Total Price]]-Table1[[#This Row],[Discount Amount]]</f>
        <v>19405.439999999999</v>
      </c>
    </row>
    <row r="385" spans="1:15" x14ac:dyDescent="0.3">
      <c r="A385" t="s">
        <v>1188</v>
      </c>
      <c r="B385" s="1">
        <v>44946</v>
      </c>
      <c r="C385" t="s">
        <v>1189</v>
      </c>
      <c r="D385" t="s">
        <v>31</v>
      </c>
      <c r="E385">
        <v>1</v>
      </c>
      <c r="F385">
        <v>48659</v>
      </c>
      <c r="G385" s="9">
        <v>0.04</v>
      </c>
      <c r="H385" t="s">
        <v>26</v>
      </c>
      <c r="I385" t="s">
        <v>1190</v>
      </c>
      <c r="J385" s="14" t="s">
        <v>73</v>
      </c>
      <c r="K385">
        <v>7</v>
      </c>
      <c r="L385" t="s">
        <v>28</v>
      </c>
      <c r="M385">
        <f>Table1[[#This Row],[UnitPrice]]*Table1[[#This Row],[Quantity]]</f>
        <v>48659</v>
      </c>
      <c r="N385">
        <f>Table1[[#This Row],[Total Price]]*Table1[[#This Row],[Discount]]</f>
        <v>1946.3600000000001</v>
      </c>
      <c r="O385">
        <f>Table1[[#This Row],[Total Price]]-Table1[[#This Row],[Discount Amount]]</f>
        <v>46712.639999999999</v>
      </c>
    </row>
    <row r="386" spans="1:15" x14ac:dyDescent="0.3">
      <c r="A386" t="s">
        <v>1191</v>
      </c>
      <c r="B386" s="1">
        <v>45620</v>
      </c>
      <c r="C386" t="s">
        <v>1192</v>
      </c>
      <c r="D386" t="s">
        <v>31</v>
      </c>
      <c r="E386">
        <v>3</v>
      </c>
      <c r="F386">
        <v>27831</v>
      </c>
      <c r="G386" s="9">
        <v>0.16</v>
      </c>
      <c r="H386" t="s">
        <v>26</v>
      </c>
      <c r="I386" t="s">
        <v>1193</v>
      </c>
      <c r="J386" s="13" t="s">
        <v>14</v>
      </c>
      <c r="K386">
        <v>4</v>
      </c>
      <c r="L386" t="s">
        <v>33</v>
      </c>
      <c r="M386">
        <f>Table1[[#This Row],[UnitPrice]]*Table1[[#This Row],[Quantity]]</f>
        <v>83493</v>
      </c>
      <c r="N386">
        <f>Table1[[#This Row],[Total Price]]*Table1[[#This Row],[Discount]]</f>
        <v>13358.880000000001</v>
      </c>
      <c r="O386">
        <f>Table1[[#This Row],[Total Price]]-Table1[[#This Row],[Discount Amount]]</f>
        <v>70134.12</v>
      </c>
    </row>
    <row r="387" spans="1:15" x14ac:dyDescent="0.3">
      <c r="A387" t="s">
        <v>1194</v>
      </c>
      <c r="B387" s="1">
        <v>45230</v>
      </c>
      <c r="C387" t="s">
        <v>1195</v>
      </c>
      <c r="D387" t="s">
        <v>31</v>
      </c>
      <c r="E387">
        <v>2</v>
      </c>
      <c r="F387">
        <v>20023</v>
      </c>
      <c r="G387" s="9">
        <v>0.21</v>
      </c>
      <c r="H387" t="s">
        <v>45</v>
      </c>
      <c r="I387" t="s">
        <v>1196</v>
      </c>
      <c r="J387" s="14" t="s">
        <v>37</v>
      </c>
      <c r="K387">
        <v>6</v>
      </c>
      <c r="L387" t="s">
        <v>33</v>
      </c>
      <c r="M387">
        <f>Table1[[#This Row],[UnitPrice]]*Table1[[#This Row],[Quantity]]</f>
        <v>40046</v>
      </c>
      <c r="N387">
        <f>Table1[[#This Row],[Total Price]]*Table1[[#This Row],[Discount]]</f>
        <v>8409.66</v>
      </c>
      <c r="O387">
        <f>Table1[[#This Row],[Total Price]]-Table1[[#This Row],[Discount Amount]]</f>
        <v>31636.34</v>
      </c>
    </row>
    <row r="388" spans="1:15" x14ac:dyDescent="0.3">
      <c r="A388" t="s">
        <v>1197</v>
      </c>
      <c r="B388" s="1">
        <v>45044</v>
      </c>
      <c r="C388" t="s">
        <v>1198</v>
      </c>
      <c r="D388" t="s">
        <v>25</v>
      </c>
      <c r="E388">
        <v>3</v>
      </c>
      <c r="F388">
        <v>1407</v>
      </c>
      <c r="G388" s="9">
        <v>0.11</v>
      </c>
      <c r="H388" t="s">
        <v>20</v>
      </c>
      <c r="I388" t="s">
        <v>1199</v>
      </c>
      <c r="J388" s="13" t="s">
        <v>14</v>
      </c>
      <c r="K388">
        <v>4</v>
      </c>
      <c r="L388" t="s">
        <v>28</v>
      </c>
      <c r="M388">
        <f>Table1[[#This Row],[UnitPrice]]*Table1[[#This Row],[Quantity]]</f>
        <v>4221</v>
      </c>
      <c r="N388">
        <f>Table1[[#This Row],[Total Price]]*Table1[[#This Row],[Discount]]</f>
        <v>464.31</v>
      </c>
      <c r="O388">
        <f>Table1[[#This Row],[Total Price]]-Table1[[#This Row],[Discount Amount]]</f>
        <v>3756.69</v>
      </c>
    </row>
    <row r="389" spans="1:15" x14ac:dyDescent="0.3">
      <c r="A389" t="s">
        <v>1200</v>
      </c>
      <c r="B389" s="1">
        <v>45470</v>
      </c>
      <c r="C389" t="s">
        <v>1201</v>
      </c>
      <c r="D389" t="s">
        <v>36</v>
      </c>
      <c r="E389">
        <v>3</v>
      </c>
      <c r="F389">
        <v>5217</v>
      </c>
      <c r="G389" s="9">
        <v>0.01</v>
      </c>
      <c r="H389" t="s">
        <v>26</v>
      </c>
      <c r="I389" t="s">
        <v>1202</v>
      </c>
      <c r="J389" s="14" t="s">
        <v>14</v>
      </c>
      <c r="K389">
        <v>3</v>
      </c>
      <c r="L389" t="s">
        <v>60</v>
      </c>
      <c r="M389">
        <f>Table1[[#This Row],[UnitPrice]]*Table1[[#This Row],[Quantity]]</f>
        <v>15651</v>
      </c>
      <c r="N389">
        <f>Table1[[#This Row],[Total Price]]*Table1[[#This Row],[Discount]]</f>
        <v>156.51</v>
      </c>
      <c r="O389">
        <f>Table1[[#This Row],[Total Price]]-Table1[[#This Row],[Discount Amount]]</f>
        <v>15494.49</v>
      </c>
    </row>
    <row r="390" spans="1:15" x14ac:dyDescent="0.3">
      <c r="A390" t="s">
        <v>1203</v>
      </c>
      <c r="B390" s="1">
        <v>45288</v>
      </c>
      <c r="C390" t="s">
        <v>1204</v>
      </c>
      <c r="D390" t="s">
        <v>36</v>
      </c>
      <c r="E390">
        <v>2</v>
      </c>
      <c r="F390">
        <v>7854</v>
      </c>
      <c r="G390" s="9">
        <v>0.11</v>
      </c>
      <c r="H390" t="s">
        <v>50</v>
      </c>
      <c r="I390" t="s">
        <v>1205</v>
      </c>
      <c r="J390" s="13" t="s">
        <v>73</v>
      </c>
      <c r="K390">
        <v>7</v>
      </c>
      <c r="L390" t="s">
        <v>33</v>
      </c>
      <c r="M390">
        <f>Table1[[#This Row],[UnitPrice]]*Table1[[#This Row],[Quantity]]</f>
        <v>15708</v>
      </c>
      <c r="N390">
        <f>Table1[[#This Row],[Total Price]]*Table1[[#This Row],[Discount]]</f>
        <v>1727.88</v>
      </c>
      <c r="O390">
        <f>Table1[[#This Row],[Total Price]]-Table1[[#This Row],[Discount Amount]]</f>
        <v>13980.119999999999</v>
      </c>
    </row>
    <row r="391" spans="1:15" x14ac:dyDescent="0.3">
      <c r="A391" t="s">
        <v>1206</v>
      </c>
      <c r="B391" s="1">
        <v>45277</v>
      </c>
      <c r="C391" t="s">
        <v>1207</v>
      </c>
      <c r="D391" t="s">
        <v>58</v>
      </c>
      <c r="E391">
        <v>2</v>
      </c>
      <c r="F391">
        <v>1790</v>
      </c>
      <c r="G391" s="9">
        <v>0.22</v>
      </c>
      <c r="H391" t="s">
        <v>50</v>
      </c>
      <c r="I391" t="s">
        <v>1208</v>
      </c>
      <c r="J391" s="14" t="s">
        <v>14</v>
      </c>
      <c r="K391">
        <v>7</v>
      </c>
      <c r="L391" t="s">
        <v>22</v>
      </c>
      <c r="M391">
        <f>Table1[[#This Row],[UnitPrice]]*Table1[[#This Row],[Quantity]]</f>
        <v>3580</v>
      </c>
      <c r="N391">
        <f>Table1[[#This Row],[Total Price]]*Table1[[#This Row],[Discount]]</f>
        <v>787.6</v>
      </c>
      <c r="O391">
        <f>Table1[[#This Row],[Total Price]]-Table1[[#This Row],[Discount Amount]]</f>
        <v>2792.4</v>
      </c>
    </row>
    <row r="392" spans="1:15" x14ac:dyDescent="0.3">
      <c r="A392" t="s">
        <v>1209</v>
      </c>
      <c r="B392" s="1">
        <v>45121</v>
      </c>
      <c r="C392" t="s">
        <v>1210</v>
      </c>
      <c r="D392" t="s">
        <v>36</v>
      </c>
      <c r="E392">
        <v>1</v>
      </c>
      <c r="F392">
        <v>5934</v>
      </c>
      <c r="G392" s="9">
        <v>0.04</v>
      </c>
      <c r="H392" t="s">
        <v>50</v>
      </c>
      <c r="I392" t="s">
        <v>1211</v>
      </c>
      <c r="J392" s="13" t="s">
        <v>37</v>
      </c>
      <c r="K392">
        <v>10</v>
      </c>
      <c r="L392" t="s">
        <v>60</v>
      </c>
      <c r="M392">
        <f>Table1[[#This Row],[UnitPrice]]*Table1[[#This Row],[Quantity]]</f>
        <v>5934</v>
      </c>
      <c r="N392">
        <f>Table1[[#This Row],[Total Price]]*Table1[[#This Row],[Discount]]</f>
        <v>237.36</v>
      </c>
      <c r="O392">
        <f>Table1[[#This Row],[Total Price]]-Table1[[#This Row],[Discount Amount]]</f>
        <v>5696.64</v>
      </c>
    </row>
    <row r="393" spans="1:15" x14ac:dyDescent="0.3">
      <c r="A393" t="s">
        <v>1212</v>
      </c>
      <c r="B393" s="1">
        <v>45673</v>
      </c>
      <c r="C393" t="s">
        <v>1213</v>
      </c>
      <c r="D393" t="s">
        <v>44</v>
      </c>
      <c r="E393">
        <v>2</v>
      </c>
      <c r="F393">
        <v>28877</v>
      </c>
      <c r="G393" s="9">
        <v>0.36</v>
      </c>
      <c r="H393" t="s">
        <v>13</v>
      </c>
      <c r="I393" t="s">
        <v>1214</v>
      </c>
      <c r="J393" s="14" t="s">
        <v>73</v>
      </c>
      <c r="K393">
        <v>3</v>
      </c>
      <c r="L393" t="s">
        <v>22</v>
      </c>
      <c r="M393">
        <f>Table1[[#This Row],[UnitPrice]]*Table1[[#This Row],[Quantity]]</f>
        <v>57754</v>
      </c>
      <c r="N393">
        <f>Table1[[#This Row],[Total Price]]*Table1[[#This Row],[Discount]]</f>
        <v>20791.439999999999</v>
      </c>
      <c r="O393">
        <f>Table1[[#This Row],[Total Price]]-Table1[[#This Row],[Discount Amount]]</f>
        <v>36962.559999999998</v>
      </c>
    </row>
    <row r="394" spans="1:15" x14ac:dyDescent="0.3">
      <c r="A394" t="s">
        <v>1215</v>
      </c>
      <c r="B394" s="1">
        <v>45350</v>
      </c>
      <c r="C394" t="s">
        <v>1216</v>
      </c>
      <c r="D394" t="s">
        <v>19</v>
      </c>
      <c r="E394">
        <v>3</v>
      </c>
      <c r="F394">
        <v>46216</v>
      </c>
      <c r="G394" s="9">
        <v>0.28000000000000003</v>
      </c>
      <c r="H394" t="s">
        <v>20</v>
      </c>
      <c r="I394" t="s">
        <v>1217</v>
      </c>
      <c r="J394" s="13" t="s">
        <v>37</v>
      </c>
      <c r="K394">
        <v>1</v>
      </c>
      <c r="L394" t="s">
        <v>28</v>
      </c>
      <c r="M394">
        <f>Table1[[#This Row],[UnitPrice]]*Table1[[#This Row],[Quantity]]</f>
        <v>138648</v>
      </c>
      <c r="N394">
        <f>Table1[[#This Row],[Total Price]]*Table1[[#This Row],[Discount]]</f>
        <v>38821.440000000002</v>
      </c>
      <c r="O394">
        <f>Table1[[#This Row],[Total Price]]-Table1[[#This Row],[Discount Amount]]</f>
        <v>99826.559999999998</v>
      </c>
    </row>
    <row r="395" spans="1:15" x14ac:dyDescent="0.3">
      <c r="A395" t="s">
        <v>1218</v>
      </c>
      <c r="B395" s="1">
        <v>45487</v>
      </c>
      <c r="C395" t="s">
        <v>1219</v>
      </c>
      <c r="D395" t="s">
        <v>36</v>
      </c>
      <c r="E395">
        <v>3</v>
      </c>
      <c r="F395">
        <v>7010</v>
      </c>
      <c r="G395" s="9">
        <v>0.22</v>
      </c>
      <c r="H395" t="s">
        <v>26</v>
      </c>
      <c r="I395" t="s">
        <v>1220</v>
      </c>
      <c r="J395" s="14" t="s">
        <v>37</v>
      </c>
      <c r="K395">
        <v>3</v>
      </c>
      <c r="L395" t="s">
        <v>60</v>
      </c>
      <c r="M395">
        <f>Table1[[#This Row],[UnitPrice]]*Table1[[#This Row],[Quantity]]</f>
        <v>21030</v>
      </c>
      <c r="N395">
        <f>Table1[[#This Row],[Total Price]]*Table1[[#This Row],[Discount]]</f>
        <v>4626.6000000000004</v>
      </c>
      <c r="O395">
        <f>Table1[[#This Row],[Total Price]]-Table1[[#This Row],[Discount Amount]]</f>
        <v>16403.400000000001</v>
      </c>
    </row>
    <row r="396" spans="1:15" x14ac:dyDescent="0.3">
      <c r="A396" t="s">
        <v>1221</v>
      </c>
      <c r="B396" s="1">
        <v>45112</v>
      </c>
      <c r="C396" t="s">
        <v>1222</v>
      </c>
      <c r="D396" t="s">
        <v>58</v>
      </c>
      <c r="E396">
        <v>3</v>
      </c>
      <c r="F396">
        <v>4340</v>
      </c>
      <c r="G396" s="9">
        <v>0.26</v>
      </c>
      <c r="H396" t="s">
        <v>45</v>
      </c>
      <c r="I396" t="s">
        <v>1223</v>
      </c>
      <c r="J396" s="13" t="s">
        <v>14</v>
      </c>
      <c r="K396">
        <v>10</v>
      </c>
      <c r="L396" t="s">
        <v>33</v>
      </c>
      <c r="M396">
        <f>Table1[[#This Row],[UnitPrice]]*Table1[[#This Row],[Quantity]]</f>
        <v>13020</v>
      </c>
      <c r="N396">
        <f>Table1[[#This Row],[Total Price]]*Table1[[#This Row],[Discount]]</f>
        <v>3385.2000000000003</v>
      </c>
      <c r="O396">
        <f>Table1[[#This Row],[Total Price]]-Table1[[#This Row],[Discount Amount]]</f>
        <v>9634.7999999999993</v>
      </c>
    </row>
    <row r="397" spans="1:15" x14ac:dyDescent="0.3">
      <c r="A397" t="s">
        <v>1224</v>
      </c>
      <c r="B397" s="1">
        <v>45772</v>
      </c>
      <c r="C397" t="s">
        <v>1225</v>
      </c>
      <c r="D397" t="s">
        <v>19</v>
      </c>
      <c r="E397">
        <v>3</v>
      </c>
      <c r="F397">
        <v>20179</v>
      </c>
      <c r="G397" s="9">
        <v>0.33</v>
      </c>
      <c r="H397" t="s">
        <v>45</v>
      </c>
      <c r="I397" t="s">
        <v>1226</v>
      </c>
      <c r="J397" s="14" t="s">
        <v>37</v>
      </c>
      <c r="K397">
        <v>7</v>
      </c>
      <c r="L397" t="s">
        <v>22</v>
      </c>
      <c r="M397">
        <f>Table1[[#This Row],[UnitPrice]]*Table1[[#This Row],[Quantity]]</f>
        <v>60537</v>
      </c>
      <c r="N397">
        <f>Table1[[#This Row],[Total Price]]*Table1[[#This Row],[Discount]]</f>
        <v>19977.21</v>
      </c>
      <c r="O397">
        <f>Table1[[#This Row],[Total Price]]-Table1[[#This Row],[Discount Amount]]</f>
        <v>40559.79</v>
      </c>
    </row>
    <row r="398" spans="1:15" x14ac:dyDescent="0.3">
      <c r="A398" t="s">
        <v>1227</v>
      </c>
      <c r="B398" s="1">
        <v>45261</v>
      </c>
      <c r="C398" t="s">
        <v>1228</v>
      </c>
      <c r="D398" t="s">
        <v>25</v>
      </c>
      <c r="E398">
        <v>1</v>
      </c>
      <c r="F398">
        <v>1127</v>
      </c>
      <c r="G398" s="9">
        <v>0.5</v>
      </c>
      <c r="H398" t="s">
        <v>20</v>
      </c>
      <c r="I398" t="s">
        <v>1229</v>
      </c>
      <c r="J398" s="13" t="s">
        <v>14</v>
      </c>
      <c r="K398">
        <v>10</v>
      </c>
      <c r="L398" t="s">
        <v>28</v>
      </c>
      <c r="M398">
        <f>Table1[[#This Row],[UnitPrice]]*Table1[[#This Row],[Quantity]]</f>
        <v>1127</v>
      </c>
      <c r="N398">
        <f>Table1[[#This Row],[Total Price]]*Table1[[#This Row],[Discount]]</f>
        <v>563.5</v>
      </c>
      <c r="O398">
        <f>Table1[[#This Row],[Total Price]]-Table1[[#This Row],[Discount Amount]]</f>
        <v>563.5</v>
      </c>
    </row>
    <row r="399" spans="1:15" x14ac:dyDescent="0.3">
      <c r="A399" t="s">
        <v>1230</v>
      </c>
      <c r="B399" s="1">
        <v>45197</v>
      </c>
      <c r="C399" t="s">
        <v>1231</v>
      </c>
      <c r="D399" t="s">
        <v>12</v>
      </c>
      <c r="E399">
        <v>2</v>
      </c>
      <c r="F399">
        <v>4986</v>
      </c>
      <c r="G399" s="9">
        <v>0.39</v>
      </c>
      <c r="H399" t="s">
        <v>20</v>
      </c>
      <c r="I399" t="s">
        <v>1232</v>
      </c>
      <c r="J399" s="14" t="s">
        <v>14</v>
      </c>
      <c r="K399">
        <v>1</v>
      </c>
      <c r="L399" t="s">
        <v>22</v>
      </c>
      <c r="M399">
        <f>Table1[[#This Row],[UnitPrice]]*Table1[[#This Row],[Quantity]]</f>
        <v>9972</v>
      </c>
      <c r="N399">
        <f>Table1[[#This Row],[Total Price]]*Table1[[#This Row],[Discount]]</f>
        <v>3889.08</v>
      </c>
      <c r="O399">
        <f>Table1[[#This Row],[Total Price]]-Table1[[#This Row],[Discount Amount]]</f>
        <v>6082.92</v>
      </c>
    </row>
    <row r="400" spans="1:15" x14ac:dyDescent="0.3">
      <c r="A400" t="s">
        <v>1233</v>
      </c>
      <c r="B400" s="1">
        <v>45539</v>
      </c>
      <c r="C400" t="s">
        <v>1234</v>
      </c>
      <c r="D400" t="s">
        <v>19</v>
      </c>
      <c r="E400">
        <v>2</v>
      </c>
      <c r="F400">
        <v>36470</v>
      </c>
      <c r="G400" s="9">
        <v>0.27</v>
      </c>
      <c r="H400" t="s">
        <v>45</v>
      </c>
      <c r="I400" t="s">
        <v>1235</v>
      </c>
      <c r="J400" s="13" t="s">
        <v>14</v>
      </c>
      <c r="K400">
        <v>7</v>
      </c>
      <c r="L400" t="s">
        <v>16</v>
      </c>
      <c r="M400">
        <f>Table1[[#This Row],[UnitPrice]]*Table1[[#This Row],[Quantity]]</f>
        <v>72940</v>
      </c>
      <c r="N400">
        <f>Table1[[#This Row],[Total Price]]*Table1[[#This Row],[Discount]]</f>
        <v>19693.800000000003</v>
      </c>
      <c r="O400">
        <f>Table1[[#This Row],[Total Price]]-Table1[[#This Row],[Discount Amount]]</f>
        <v>53246.2</v>
      </c>
    </row>
    <row r="401" spans="1:15" x14ac:dyDescent="0.3">
      <c r="A401" t="s">
        <v>1236</v>
      </c>
      <c r="B401" s="1">
        <v>45298</v>
      </c>
      <c r="C401" t="s">
        <v>1237</v>
      </c>
      <c r="D401" t="s">
        <v>25</v>
      </c>
      <c r="E401">
        <v>1</v>
      </c>
      <c r="F401">
        <v>15182</v>
      </c>
      <c r="G401" s="9">
        <v>0.39</v>
      </c>
      <c r="H401" t="s">
        <v>13</v>
      </c>
      <c r="I401" t="s">
        <v>1238</v>
      </c>
      <c r="J401" s="14" t="s">
        <v>37</v>
      </c>
      <c r="K401">
        <v>5</v>
      </c>
      <c r="L401" t="s">
        <v>33</v>
      </c>
      <c r="M401">
        <f>Table1[[#This Row],[UnitPrice]]*Table1[[#This Row],[Quantity]]</f>
        <v>15182</v>
      </c>
      <c r="N401">
        <f>Table1[[#This Row],[Total Price]]*Table1[[#This Row],[Discount]]</f>
        <v>5920.9800000000005</v>
      </c>
      <c r="O401">
        <f>Table1[[#This Row],[Total Price]]-Table1[[#This Row],[Discount Amount]]</f>
        <v>9261.02</v>
      </c>
    </row>
    <row r="402" spans="1:15" x14ac:dyDescent="0.3">
      <c r="A402" t="s">
        <v>1239</v>
      </c>
      <c r="B402" s="1">
        <v>45563</v>
      </c>
      <c r="C402" t="s">
        <v>1240</v>
      </c>
      <c r="D402" t="s">
        <v>58</v>
      </c>
      <c r="E402">
        <v>2</v>
      </c>
      <c r="F402">
        <v>4235</v>
      </c>
      <c r="G402" s="9">
        <v>0.24</v>
      </c>
      <c r="H402" t="s">
        <v>13</v>
      </c>
      <c r="I402" t="s">
        <v>1241</v>
      </c>
      <c r="J402" s="13" t="s">
        <v>14</v>
      </c>
      <c r="K402">
        <v>9</v>
      </c>
      <c r="L402" t="s">
        <v>16</v>
      </c>
      <c r="M402">
        <f>Table1[[#This Row],[UnitPrice]]*Table1[[#This Row],[Quantity]]</f>
        <v>8470</v>
      </c>
      <c r="N402">
        <f>Table1[[#This Row],[Total Price]]*Table1[[#This Row],[Discount]]</f>
        <v>2032.8</v>
      </c>
      <c r="O402">
        <f>Table1[[#This Row],[Total Price]]-Table1[[#This Row],[Discount Amount]]</f>
        <v>6437.2</v>
      </c>
    </row>
    <row r="403" spans="1:15" x14ac:dyDescent="0.3">
      <c r="A403" t="s">
        <v>1242</v>
      </c>
      <c r="B403" s="1">
        <v>45756</v>
      </c>
      <c r="C403" t="s">
        <v>1243</v>
      </c>
      <c r="D403" t="s">
        <v>36</v>
      </c>
      <c r="E403">
        <v>1</v>
      </c>
      <c r="F403">
        <v>8175</v>
      </c>
      <c r="G403" s="9">
        <v>0.16</v>
      </c>
      <c r="H403" t="s">
        <v>13</v>
      </c>
      <c r="I403" t="s">
        <v>1244</v>
      </c>
      <c r="J403" s="14" t="s">
        <v>37</v>
      </c>
      <c r="K403">
        <v>6</v>
      </c>
      <c r="L403" t="s">
        <v>22</v>
      </c>
      <c r="M403">
        <f>Table1[[#This Row],[UnitPrice]]*Table1[[#This Row],[Quantity]]</f>
        <v>8175</v>
      </c>
      <c r="N403">
        <f>Table1[[#This Row],[Total Price]]*Table1[[#This Row],[Discount]]</f>
        <v>1308</v>
      </c>
      <c r="O403">
        <f>Table1[[#This Row],[Total Price]]-Table1[[#This Row],[Discount Amount]]</f>
        <v>6867</v>
      </c>
    </row>
    <row r="404" spans="1:15" x14ac:dyDescent="0.3">
      <c r="A404" t="s">
        <v>1245</v>
      </c>
      <c r="B404" s="1">
        <v>45025</v>
      </c>
      <c r="C404" t="s">
        <v>1246</v>
      </c>
      <c r="D404" t="s">
        <v>36</v>
      </c>
      <c r="E404">
        <v>3</v>
      </c>
      <c r="F404">
        <v>8617</v>
      </c>
      <c r="G404" s="9">
        <v>0.13</v>
      </c>
      <c r="H404" t="s">
        <v>45</v>
      </c>
      <c r="I404" t="s">
        <v>1247</v>
      </c>
      <c r="J404" s="13" t="s">
        <v>14</v>
      </c>
      <c r="K404">
        <v>5</v>
      </c>
      <c r="L404" t="s">
        <v>22</v>
      </c>
      <c r="M404">
        <f>Table1[[#This Row],[UnitPrice]]*Table1[[#This Row],[Quantity]]</f>
        <v>25851</v>
      </c>
      <c r="N404">
        <f>Table1[[#This Row],[Total Price]]*Table1[[#This Row],[Discount]]</f>
        <v>3360.63</v>
      </c>
      <c r="O404">
        <f>Table1[[#This Row],[Total Price]]-Table1[[#This Row],[Discount Amount]]</f>
        <v>22490.37</v>
      </c>
    </row>
    <row r="405" spans="1:15" x14ac:dyDescent="0.3">
      <c r="A405" t="s">
        <v>1248</v>
      </c>
      <c r="B405" s="1">
        <v>45606</v>
      </c>
      <c r="C405" t="s">
        <v>1249</v>
      </c>
      <c r="D405" t="s">
        <v>25</v>
      </c>
      <c r="E405">
        <v>1</v>
      </c>
      <c r="F405">
        <v>15384</v>
      </c>
      <c r="G405" s="9">
        <v>0.2</v>
      </c>
      <c r="H405" t="s">
        <v>20</v>
      </c>
      <c r="I405" t="s">
        <v>1250</v>
      </c>
      <c r="J405" s="14" t="s">
        <v>14</v>
      </c>
      <c r="K405">
        <v>1</v>
      </c>
      <c r="L405" t="s">
        <v>22</v>
      </c>
      <c r="M405">
        <f>Table1[[#This Row],[UnitPrice]]*Table1[[#This Row],[Quantity]]</f>
        <v>15384</v>
      </c>
      <c r="N405">
        <f>Table1[[#This Row],[Total Price]]*Table1[[#This Row],[Discount]]</f>
        <v>3076.8</v>
      </c>
      <c r="O405">
        <f>Table1[[#This Row],[Total Price]]-Table1[[#This Row],[Discount Amount]]</f>
        <v>12307.2</v>
      </c>
    </row>
    <row r="406" spans="1:15" x14ac:dyDescent="0.3">
      <c r="A406" t="s">
        <v>1251</v>
      </c>
      <c r="B406" s="1">
        <v>44994</v>
      </c>
      <c r="C406" t="s">
        <v>1252</v>
      </c>
      <c r="D406" t="s">
        <v>12</v>
      </c>
      <c r="E406">
        <v>2</v>
      </c>
      <c r="F406">
        <v>9034</v>
      </c>
      <c r="G406" s="9">
        <v>0</v>
      </c>
      <c r="H406" t="s">
        <v>50</v>
      </c>
      <c r="I406" t="s">
        <v>1253</v>
      </c>
      <c r="J406" s="13" t="s">
        <v>37</v>
      </c>
      <c r="K406">
        <v>6</v>
      </c>
      <c r="L406" t="s">
        <v>16</v>
      </c>
      <c r="M406">
        <f>Table1[[#This Row],[UnitPrice]]*Table1[[#This Row],[Quantity]]</f>
        <v>18068</v>
      </c>
      <c r="N406">
        <f>Table1[[#This Row],[Total Price]]*Table1[[#This Row],[Discount]]</f>
        <v>0</v>
      </c>
      <c r="O406">
        <f>Table1[[#This Row],[Total Price]]-Table1[[#This Row],[Discount Amount]]</f>
        <v>18068</v>
      </c>
    </row>
    <row r="407" spans="1:15" x14ac:dyDescent="0.3">
      <c r="A407" t="s">
        <v>1254</v>
      </c>
      <c r="B407" s="1">
        <v>45683</v>
      </c>
      <c r="C407" t="s">
        <v>1255</v>
      </c>
      <c r="D407" t="s">
        <v>12</v>
      </c>
      <c r="E407">
        <v>3</v>
      </c>
      <c r="F407">
        <v>7093</v>
      </c>
      <c r="G407" s="9">
        <v>0.09</v>
      </c>
      <c r="H407" t="s">
        <v>20</v>
      </c>
      <c r="I407" t="s">
        <v>1256</v>
      </c>
      <c r="J407" s="14" t="s">
        <v>14</v>
      </c>
      <c r="K407">
        <v>7</v>
      </c>
      <c r="L407" t="s">
        <v>28</v>
      </c>
      <c r="M407">
        <f>Table1[[#This Row],[UnitPrice]]*Table1[[#This Row],[Quantity]]</f>
        <v>21279</v>
      </c>
      <c r="N407">
        <f>Table1[[#This Row],[Total Price]]*Table1[[#This Row],[Discount]]</f>
        <v>1915.11</v>
      </c>
      <c r="O407">
        <f>Table1[[#This Row],[Total Price]]-Table1[[#This Row],[Discount Amount]]</f>
        <v>19363.89</v>
      </c>
    </row>
    <row r="408" spans="1:15" x14ac:dyDescent="0.3">
      <c r="A408" t="s">
        <v>1257</v>
      </c>
      <c r="B408" s="1">
        <v>45270</v>
      </c>
      <c r="C408" t="s">
        <v>1258</v>
      </c>
      <c r="D408" t="s">
        <v>25</v>
      </c>
      <c r="E408">
        <v>3</v>
      </c>
      <c r="F408">
        <v>11599</v>
      </c>
      <c r="G408" s="9">
        <v>0.06</v>
      </c>
      <c r="H408" t="s">
        <v>50</v>
      </c>
      <c r="I408" t="s">
        <v>1259</v>
      </c>
      <c r="J408" s="13" t="s">
        <v>14</v>
      </c>
      <c r="K408">
        <v>9</v>
      </c>
      <c r="L408" t="s">
        <v>60</v>
      </c>
      <c r="M408">
        <f>Table1[[#This Row],[UnitPrice]]*Table1[[#This Row],[Quantity]]</f>
        <v>34797</v>
      </c>
      <c r="N408">
        <f>Table1[[#This Row],[Total Price]]*Table1[[#This Row],[Discount]]</f>
        <v>2087.8199999999997</v>
      </c>
      <c r="O408">
        <f>Table1[[#This Row],[Total Price]]-Table1[[#This Row],[Discount Amount]]</f>
        <v>32709.18</v>
      </c>
    </row>
    <row r="409" spans="1:15" x14ac:dyDescent="0.3">
      <c r="A409" t="s">
        <v>1260</v>
      </c>
      <c r="B409" s="1">
        <v>45151</v>
      </c>
      <c r="C409" t="s">
        <v>1261</v>
      </c>
      <c r="D409" t="s">
        <v>25</v>
      </c>
      <c r="E409">
        <v>1</v>
      </c>
      <c r="F409">
        <v>13119</v>
      </c>
      <c r="G409" s="9">
        <v>0.48</v>
      </c>
      <c r="H409" t="s">
        <v>50</v>
      </c>
      <c r="I409" t="s">
        <v>1262</v>
      </c>
      <c r="J409" s="14" t="s">
        <v>14</v>
      </c>
      <c r="K409">
        <v>8</v>
      </c>
      <c r="L409" t="s">
        <v>16</v>
      </c>
      <c r="M409">
        <f>Table1[[#This Row],[UnitPrice]]*Table1[[#This Row],[Quantity]]</f>
        <v>13119</v>
      </c>
      <c r="N409">
        <f>Table1[[#This Row],[Total Price]]*Table1[[#This Row],[Discount]]</f>
        <v>6297.12</v>
      </c>
      <c r="O409">
        <f>Table1[[#This Row],[Total Price]]-Table1[[#This Row],[Discount Amount]]</f>
        <v>6821.88</v>
      </c>
    </row>
    <row r="410" spans="1:15" x14ac:dyDescent="0.3">
      <c r="A410" t="s">
        <v>1263</v>
      </c>
      <c r="B410" s="1">
        <v>45658</v>
      </c>
      <c r="C410" t="s">
        <v>1264</v>
      </c>
      <c r="D410" t="s">
        <v>36</v>
      </c>
      <c r="E410">
        <v>1</v>
      </c>
      <c r="F410">
        <v>6790</v>
      </c>
      <c r="G410" s="9">
        <v>0.03</v>
      </c>
      <c r="H410" t="s">
        <v>20</v>
      </c>
      <c r="I410" t="s">
        <v>1265</v>
      </c>
      <c r="J410" s="13" t="s">
        <v>73</v>
      </c>
      <c r="K410">
        <v>6</v>
      </c>
      <c r="L410" t="s">
        <v>60</v>
      </c>
      <c r="M410">
        <f>Table1[[#This Row],[UnitPrice]]*Table1[[#This Row],[Quantity]]</f>
        <v>6790</v>
      </c>
      <c r="N410">
        <f>Table1[[#This Row],[Total Price]]*Table1[[#This Row],[Discount]]</f>
        <v>203.7</v>
      </c>
      <c r="O410">
        <f>Table1[[#This Row],[Total Price]]-Table1[[#This Row],[Discount Amount]]</f>
        <v>6586.3</v>
      </c>
    </row>
    <row r="411" spans="1:15" x14ac:dyDescent="0.3">
      <c r="A411" t="s">
        <v>1266</v>
      </c>
      <c r="B411" s="1">
        <v>45105</v>
      </c>
      <c r="C411" t="s">
        <v>1267</v>
      </c>
      <c r="D411" t="s">
        <v>58</v>
      </c>
      <c r="E411">
        <v>2</v>
      </c>
      <c r="F411">
        <v>1019</v>
      </c>
      <c r="G411" s="9">
        <v>0.25</v>
      </c>
      <c r="H411" t="s">
        <v>20</v>
      </c>
      <c r="I411" t="s">
        <v>1268</v>
      </c>
      <c r="J411" s="14" t="s">
        <v>37</v>
      </c>
      <c r="K411">
        <v>9</v>
      </c>
      <c r="L411" t="s">
        <v>60</v>
      </c>
      <c r="M411">
        <f>Table1[[#This Row],[UnitPrice]]*Table1[[#This Row],[Quantity]]</f>
        <v>2038</v>
      </c>
      <c r="N411">
        <f>Table1[[#This Row],[Total Price]]*Table1[[#This Row],[Discount]]</f>
        <v>509.5</v>
      </c>
      <c r="O411">
        <f>Table1[[#This Row],[Total Price]]-Table1[[#This Row],[Discount Amount]]</f>
        <v>1528.5</v>
      </c>
    </row>
    <row r="412" spans="1:15" x14ac:dyDescent="0.3">
      <c r="A412" t="s">
        <v>1269</v>
      </c>
      <c r="B412" s="1">
        <v>45309</v>
      </c>
      <c r="C412" t="s">
        <v>1270</v>
      </c>
      <c r="D412" t="s">
        <v>25</v>
      </c>
      <c r="E412">
        <v>2</v>
      </c>
      <c r="F412">
        <v>16843</v>
      </c>
      <c r="G412" s="9">
        <v>0.46</v>
      </c>
      <c r="H412" t="s">
        <v>13</v>
      </c>
      <c r="I412" t="s">
        <v>1271</v>
      </c>
      <c r="J412" s="13" t="s">
        <v>14</v>
      </c>
      <c r="K412">
        <v>5</v>
      </c>
      <c r="L412" t="s">
        <v>28</v>
      </c>
      <c r="M412">
        <f>Table1[[#This Row],[UnitPrice]]*Table1[[#This Row],[Quantity]]</f>
        <v>33686</v>
      </c>
      <c r="N412">
        <f>Table1[[#This Row],[Total Price]]*Table1[[#This Row],[Discount]]</f>
        <v>15495.560000000001</v>
      </c>
      <c r="O412">
        <f>Table1[[#This Row],[Total Price]]-Table1[[#This Row],[Discount Amount]]</f>
        <v>18190.439999999999</v>
      </c>
    </row>
    <row r="413" spans="1:15" x14ac:dyDescent="0.3">
      <c r="A413" t="s">
        <v>1272</v>
      </c>
      <c r="B413" s="1">
        <v>45462</v>
      </c>
      <c r="C413" t="s">
        <v>1273</v>
      </c>
      <c r="D413" t="s">
        <v>58</v>
      </c>
      <c r="E413">
        <v>1</v>
      </c>
      <c r="F413">
        <v>8218</v>
      </c>
      <c r="G413" s="9">
        <v>0.3</v>
      </c>
      <c r="H413" t="s">
        <v>20</v>
      </c>
      <c r="I413" t="s">
        <v>1274</v>
      </c>
      <c r="J413" s="14" t="s">
        <v>14</v>
      </c>
      <c r="K413">
        <v>5</v>
      </c>
      <c r="L413" t="s">
        <v>33</v>
      </c>
      <c r="M413">
        <f>Table1[[#This Row],[UnitPrice]]*Table1[[#This Row],[Quantity]]</f>
        <v>8218</v>
      </c>
      <c r="N413">
        <f>Table1[[#This Row],[Total Price]]*Table1[[#This Row],[Discount]]</f>
        <v>2465.4</v>
      </c>
      <c r="O413">
        <f>Table1[[#This Row],[Total Price]]-Table1[[#This Row],[Discount Amount]]</f>
        <v>5752.6</v>
      </c>
    </row>
    <row r="414" spans="1:15" x14ac:dyDescent="0.3">
      <c r="A414" t="s">
        <v>1275</v>
      </c>
      <c r="B414" s="1">
        <v>45758</v>
      </c>
      <c r="C414" t="s">
        <v>1276</v>
      </c>
      <c r="D414" t="s">
        <v>25</v>
      </c>
      <c r="E414">
        <v>2</v>
      </c>
      <c r="F414">
        <v>12381</v>
      </c>
      <c r="G414" s="9">
        <v>0.25</v>
      </c>
      <c r="H414" t="s">
        <v>26</v>
      </c>
      <c r="I414" t="s">
        <v>1277</v>
      </c>
      <c r="J414" s="13" t="s">
        <v>73</v>
      </c>
      <c r="K414">
        <v>10</v>
      </c>
      <c r="L414" t="s">
        <v>33</v>
      </c>
      <c r="M414">
        <f>Table1[[#This Row],[UnitPrice]]*Table1[[#This Row],[Quantity]]</f>
        <v>24762</v>
      </c>
      <c r="N414">
        <f>Table1[[#This Row],[Total Price]]*Table1[[#This Row],[Discount]]</f>
        <v>6190.5</v>
      </c>
      <c r="O414">
        <f>Table1[[#This Row],[Total Price]]-Table1[[#This Row],[Discount Amount]]</f>
        <v>18571.5</v>
      </c>
    </row>
    <row r="415" spans="1:15" x14ac:dyDescent="0.3">
      <c r="A415" t="s">
        <v>1278</v>
      </c>
      <c r="B415" s="1">
        <v>45207</v>
      </c>
      <c r="C415" t="s">
        <v>1279</v>
      </c>
      <c r="D415" t="s">
        <v>25</v>
      </c>
      <c r="E415">
        <v>1</v>
      </c>
      <c r="F415">
        <v>12169</v>
      </c>
      <c r="G415" s="9">
        <v>0.37</v>
      </c>
      <c r="H415" t="s">
        <v>20</v>
      </c>
      <c r="I415" t="s">
        <v>1280</v>
      </c>
      <c r="J415" s="14" t="s">
        <v>37</v>
      </c>
      <c r="K415">
        <v>6</v>
      </c>
      <c r="L415" t="s">
        <v>28</v>
      </c>
      <c r="M415">
        <f>Table1[[#This Row],[UnitPrice]]*Table1[[#This Row],[Quantity]]</f>
        <v>12169</v>
      </c>
      <c r="N415">
        <f>Table1[[#This Row],[Total Price]]*Table1[[#This Row],[Discount]]</f>
        <v>4502.53</v>
      </c>
      <c r="O415">
        <f>Table1[[#This Row],[Total Price]]-Table1[[#This Row],[Discount Amount]]</f>
        <v>7666.47</v>
      </c>
    </row>
    <row r="416" spans="1:15" x14ac:dyDescent="0.3">
      <c r="A416" t="s">
        <v>1281</v>
      </c>
      <c r="B416" s="1">
        <v>45781</v>
      </c>
      <c r="C416" t="s">
        <v>1282</v>
      </c>
      <c r="D416" t="s">
        <v>58</v>
      </c>
      <c r="E416">
        <v>1</v>
      </c>
      <c r="F416">
        <v>8157</v>
      </c>
      <c r="G416" s="9">
        <v>0.18</v>
      </c>
      <c r="H416" t="s">
        <v>50</v>
      </c>
      <c r="I416" t="s">
        <v>1283</v>
      </c>
      <c r="J416" s="13" t="s">
        <v>37</v>
      </c>
      <c r="K416">
        <v>4</v>
      </c>
      <c r="L416" t="s">
        <v>33</v>
      </c>
      <c r="M416">
        <f>Table1[[#This Row],[UnitPrice]]*Table1[[#This Row],[Quantity]]</f>
        <v>8157</v>
      </c>
      <c r="N416">
        <f>Table1[[#This Row],[Total Price]]*Table1[[#This Row],[Discount]]</f>
        <v>1468.26</v>
      </c>
      <c r="O416">
        <f>Table1[[#This Row],[Total Price]]-Table1[[#This Row],[Discount Amount]]</f>
        <v>6688.74</v>
      </c>
    </row>
    <row r="417" spans="1:15" x14ac:dyDescent="0.3">
      <c r="A417" t="s">
        <v>1284</v>
      </c>
      <c r="B417" s="1">
        <v>45753</v>
      </c>
      <c r="C417" t="s">
        <v>1285</v>
      </c>
      <c r="D417" t="s">
        <v>31</v>
      </c>
      <c r="E417">
        <v>3</v>
      </c>
      <c r="F417">
        <v>23083</v>
      </c>
      <c r="G417" s="9">
        <v>0.1</v>
      </c>
      <c r="H417" t="s">
        <v>45</v>
      </c>
      <c r="I417" t="s">
        <v>1286</v>
      </c>
      <c r="J417" s="14" t="s">
        <v>14</v>
      </c>
      <c r="K417">
        <v>5</v>
      </c>
      <c r="L417" t="s">
        <v>33</v>
      </c>
      <c r="M417">
        <f>Table1[[#This Row],[UnitPrice]]*Table1[[#This Row],[Quantity]]</f>
        <v>69249</v>
      </c>
      <c r="N417">
        <f>Table1[[#This Row],[Total Price]]*Table1[[#This Row],[Discount]]</f>
        <v>6924.9000000000005</v>
      </c>
      <c r="O417">
        <f>Table1[[#This Row],[Total Price]]-Table1[[#This Row],[Discount Amount]]</f>
        <v>62324.1</v>
      </c>
    </row>
    <row r="418" spans="1:15" x14ac:dyDescent="0.3">
      <c r="A418" t="s">
        <v>1287</v>
      </c>
      <c r="B418" s="1">
        <v>45125</v>
      </c>
      <c r="C418" t="s">
        <v>1288</v>
      </c>
      <c r="D418" t="s">
        <v>44</v>
      </c>
      <c r="E418">
        <v>1</v>
      </c>
      <c r="F418">
        <v>60900</v>
      </c>
      <c r="G418" s="9">
        <v>0.42</v>
      </c>
      <c r="H418" t="s">
        <v>45</v>
      </c>
      <c r="I418" t="s">
        <v>1289</v>
      </c>
      <c r="J418" s="13" t="s">
        <v>37</v>
      </c>
      <c r="K418">
        <v>5</v>
      </c>
      <c r="L418" t="s">
        <v>22</v>
      </c>
      <c r="M418">
        <f>Table1[[#This Row],[UnitPrice]]*Table1[[#This Row],[Quantity]]</f>
        <v>60900</v>
      </c>
      <c r="N418">
        <f>Table1[[#This Row],[Total Price]]*Table1[[#This Row],[Discount]]</f>
        <v>25578</v>
      </c>
      <c r="O418">
        <f>Table1[[#This Row],[Total Price]]-Table1[[#This Row],[Discount Amount]]</f>
        <v>35322</v>
      </c>
    </row>
    <row r="419" spans="1:15" x14ac:dyDescent="0.3">
      <c r="A419" t="s">
        <v>1290</v>
      </c>
      <c r="B419" s="1">
        <v>45223</v>
      </c>
      <c r="C419" t="s">
        <v>1291</v>
      </c>
      <c r="D419" t="s">
        <v>44</v>
      </c>
      <c r="E419">
        <v>2</v>
      </c>
      <c r="F419">
        <v>62870</v>
      </c>
      <c r="G419" s="9">
        <v>0.03</v>
      </c>
      <c r="H419" t="s">
        <v>20</v>
      </c>
      <c r="I419" t="s">
        <v>1292</v>
      </c>
      <c r="J419" s="14" t="s">
        <v>37</v>
      </c>
      <c r="K419">
        <v>5</v>
      </c>
      <c r="L419" t="s">
        <v>60</v>
      </c>
      <c r="M419">
        <f>Table1[[#This Row],[UnitPrice]]*Table1[[#This Row],[Quantity]]</f>
        <v>125740</v>
      </c>
      <c r="N419">
        <f>Table1[[#This Row],[Total Price]]*Table1[[#This Row],[Discount]]</f>
        <v>3772.2</v>
      </c>
      <c r="O419">
        <f>Table1[[#This Row],[Total Price]]-Table1[[#This Row],[Discount Amount]]</f>
        <v>121967.8</v>
      </c>
    </row>
    <row r="420" spans="1:15" x14ac:dyDescent="0.3">
      <c r="A420" t="s">
        <v>1293</v>
      </c>
      <c r="B420" s="1">
        <v>44937</v>
      </c>
      <c r="C420" t="s">
        <v>1294</v>
      </c>
      <c r="D420" t="s">
        <v>36</v>
      </c>
      <c r="E420">
        <v>1</v>
      </c>
      <c r="F420">
        <v>5683</v>
      </c>
      <c r="G420" s="9">
        <v>0.4</v>
      </c>
      <c r="H420" t="s">
        <v>20</v>
      </c>
      <c r="I420" t="s">
        <v>1295</v>
      </c>
      <c r="J420" s="13" t="s">
        <v>14</v>
      </c>
      <c r="K420">
        <v>3</v>
      </c>
      <c r="L420" t="s">
        <v>33</v>
      </c>
      <c r="M420">
        <f>Table1[[#This Row],[UnitPrice]]*Table1[[#This Row],[Quantity]]</f>
        <v>5683</v>
      </c>
      <c r="N420">
        <f>Table1[[#This Row],[Total Price]]*Table1[[#This Row],[Discount]]</f>
        <v>2273.2000000000003</v>
      </c>
      <c r="O420">
        <f>Table1[[#This Row],[Total Price]]-Table1[[#This Row],[Discount Amount]]</f>
        <v>3409.7999999999997</v>
      </c>
    </row>
    <row r="421" spans="1:15" x14ac:dyDescent="0.3">
      <c r="A421" t="s">
        <v>1296</v>
      </c>
      <c r="B421" s="1">
        <v>45399</v>
      </c>
      <c r="C421" t="s">
        <v>1297</v>
      </c>
      <c r="D421" t="s">
        <v>25</v>
      </c>
      <c r="E421">
        <v>2</v>
      </c>
      <c r="F421">
        <v>13750</v>
      </c>
      <c r="G421" s="9">
        <v>0.05</v>
      </c>
      <c r="H421" t="s">
        <v>13</v>
      </c>
      <c r="I421" t="s">
        <v>1298</v>
      </c>
      <c r="J421" s="14" t="s">
        <v>73</v>
      </c>
      <c r="K421">
        <v>6</v>
      </c>
      <c r="L421" t="s">
        <v>16</v>
      </c>
      <c r="M421">
        <f>Table1[[#This Row],[UnitPrice]]*Table1[[#This Row],[Quantity]]</f>
        <v>27500</v>
      </c>
      <c r="N421">
        <f>Table1[[#This Row],[Total Price]]*Table1[[#This Row],[Discount]]</f>
        <v>1375</v>
      </c>
      <c r="O421">
        <f>Table1[[#This Row],[Total Price]]-Table1[[#This Row],[Discount Amount]]</f>
        <v>26125</v>
      </c>
    </row>
    <row r="422" spans="1:15" x14ac:dyDescent="0.3">
      <c r="A422" t="s">
        <v>1299</v>
      </c>
      <c r="B422" s="1">
        <v>45625</v>
      </c>
      <c r="C422" t="s">
        <v>1300</v>
      </c>
      <c r="D422" t="s">
        <v>19</v>
      </c>
      <c r="E422">
        <v>1</v>
      </c>
      <c r="F422">
        <v>31909</v>
      </c>
      <c r="G422" s="9">
        <v>0.31</v>
      </c>
      <c r="H422" t="s">
        <v>13</v>
      </c>
      <c r="I422" t="s">
        <v>1301</v>
      </c>
      <c r="J422" s="13" t="s">
        <v>14</v>
      </c>
      <c r="K422">
        <v>5</v>
      </c>
      <c r="L422" t="s">
        <v>16</v>
      </c>
      <c r="M422">
        <f>Table1[[#This Row],[UnitPrice]]*Table1[[#This Row],[Quantity]]</f>
        <v>31909</v>
      </c>
      <c r="N422">
        <f>Table1[[#This Row],[Total Price]]*Table1[[#This Row],[Discount]]</f>
        <v>9891.7899999999991</v>
      </c>
      <c r="O422">
        <f>Table1[[#This Row],[Total Price]]-Table1[[#This Row],[Discount Amount]]</f>
        <v>22017.21</v>
      </c>
    </row>
    <row r="423" spans="1:15" x14ac:dyDescent="0.3">
      <c r="A423" t="s">
        <v>1302</v>
      </c>
      <c r="B423" s="1">
        <v>45214</v>
      </c>
      <c r="C423" t="s">
        <v>1303</v>
      </c>
      <c r="D423" t="s">
        <v>31</v>
      </c>
      <c r="E423">
        <v>2</v>
      </c>
      <c r="F423">
        <v>34000</v>
      </c>
      <c r="G423" s="9">
        <v>0.24</v>
      </c>
      <c r="H423" t="s">
        <v>13</v>
      </c>
      <c r="I423" t="s">
        <v>1304</v>
      </c>
      <c r="J423" s="14" t="s">
        <v>14</v>
      </c>
      <c r="K423">
        <v>5</v>
      </c>
      <c r="L423" t="s">
        <v>28</v>
      </c>
      <c r="M423">
        <f>Table1[[#This Row],[UnitPrice]]*Table1[[#This Row],[Quantity]]</f>
        <v>68000</v>
      </c>
      <c r="N423">
        <f>Table1[[#This Row],[Total Price]]*Table1[[#This Row],[Discount]]</f>
        <v>16320</v>
      </c>
      <c r="O423">
        <f>Table1[[#This Row],[Total Price]]-Table1[[#This Row],[Discount Amount]]</f>
        <v>51680</v>
      </c>
    </row>
    <row r="424" spans="1:15" x14ac:dyDescent="0.3">
      <c r="A424" t="s">
        <v>1305</v>
      </c>
      <c r="B424" s="1">
        <v>45082</v>
      </c>
      <c r="C424" t="s">
        <v>1306</v>
      </c>
      <c r="D424" t="s">
        <v>19</v>
      </c>
      <c r="E424">
        <v>2</v>
      </c>
      <c r="F424">
        <v>49112</v>
      </c>
      <c r="G424" s="9">
        <v>0.5</v>
      </c>
      <c r="H424" t="s">
        <v>45</v>
      </c>
      <c r="I424" t="s">
        <v>1307</v>
      </c>
      <c r="J424" s="13" t="s">
        <v>37</v>
      </c>
      <c r="K424">
        <v>6</v>
      </c>
      <c r="L424" t="s">
        <v>22</v>
      </c>
      <c r="M424">
        <f>Table1[[#This Row],[UnitPrice]]*Table1[[#This Row],[Quantity]]</f>
        <v>98224</v>
      </c>
      <c r="N424">
        <f>Table1[[#This Row],[Total Price]]*Table1[[#This Row],[Discount]]</f>
        <v>49112</v>
      </c>
      <c r="O424">
        <f>Table1[[#This Row],[Total Price]]-Table1[[#This Row],[Discount Amount]]</f>
        <v>49112</v>
      </c>
    </row>
    <row r="425" spans="1:15" x14ac:dyDescent="0.3">
      <c r="A425" t="s">
        <v>1308</v>
      </c>
      <c r="B425" s="1">
        <v>45493</v>
      </c>
      <c r="C425" t="s">
        <v>1309</v>
      </c>
      <c r="D425" t="s">
        <v>36</v>
      </c>
      <c r="E425">
        <v>2</v>
      </c>
      <c r="F425">
        <v>7842</v>
      </c>
      <c r="G425" s="9">
        <v>0.19</v>
      </c>
      <c r="H425" t="s">
        <v>45</v>
      </c>
      <c r="I425" t="s">
        <v>1310</v>
      </c>
      <c r="J425" s="14" t="s">
        <v>37</v>
      </c>
      <c r="K425">
        <v>6</v>
      </c>
      <c r="L425" t="s">
        <v>60</v>
      </c>
      <c r="M425">
        <f>Table1[[#This Row],[UnitPrice]]*Table1[[#This Row],[Quantity]]</f>
        <v>15684</v>
      </c>
      <c r="N425">
        <f>Table1[[#This Row],[Total Price]]*Table1[[#This Row],[Discount]]</f>
        <v>2979.96</v>
      </c>
      <c r="O425">
        <f>Table1[[#This Row],[Total Price]]-Table1[[#This Row],[Discount Amount]]</f>
        <v>12704.04</v>
      </c>
    </row>
    <row r="426" spans="1:15" x14ac:dyDescent="0.3">
      <c r="A426" t="s">
        <v>1311</v>
      </c>
      <c r="B426" s="1">
        <v>45028</v>
      </c>
      <c r="C426" t="s">
        <v>1312</v>
      </c>
      <c r="D426" t="s">
        <v>31</v>
      </c>
      <c r="E426">
        <v>1</v>
      </c>
      <c r="F426">
        <v>30584</v>
      </c>
      <c r="G426" s="9">
        <v>0.48</v>
      </c>
      <c r="H426" t="s">
        <v>50</v>
      </c>
      <c r="I426" t="s">
        <v>1313</v>
      </c>
      <c r="J426" s="13" t="s">
        <v>73</v>
      </c>
      <c r="K426">
        <v>10</v>
      </c>
      <c r="L426" t="s">
        <v>28</v>
      </c>
      <c r="M426">
        <f>Table1[[#This Row],[UnitPrice]]*Table1[[#This Row],[Quantity]]</f>
        <v>30584</v>
      </c>
      <c r="N426">
        <f>Table1[[#This Row],[Total Price]]*Table1[[#This Row],[Discount]]</f>
        <v>14680.32</v>
      </c>
      <c r="O426">
        <f>Table1[[#This Row],[Total Price]]-Table1[[#This Row],[Discount Amount]]</f>
        <v>15903.68</v>
      </c>
    </row>
    <row r="427" spans="1:15" x14ac:dyDescent="0.3">
      <c r="A427" t="s">
        <v>1314</v>
      </c>
      <c r="B427" s="1">
        <v>44994</v>
      </c>
      <c r="C427" t="s">
        <v>1315</v>
      </c>
      <c r="D427" t="s">
        <v>44</v>
      </c>
      <c r="E427">
        <v>2</v>
      </c>
      <c r="F427">
        <v>55997</v>
      </c>
      <c r="G427" s="9">
        <v>0.2</v>
      </c>
      <c r="H427" t="s">
        <v>45</v>
      </c>
      <c r="I427" t="s">
        <v>1316</v>
      </c>
      <c r="J427" s="14" t="s">
        <v>14</v>
      </c>
      <c r="K427">
        <v>5</v>
      </c>
      <c r="L427" t="s">
        <v>28</v>
      </c>
      <c r="M427">
        <f>Table1[[#This Row],[UnitPrice]]*Table1[[#This Row],[Quantity]]</f>
        <v>111994</v>
      </c>
      <c r="N427">
        <f>Table1[[#This Row],[Total Price]]*Table1[[#This Row],[Discount]]</f>
        <v>22398.800000000003</v>
      </c>
      <c r="O427">
        <f>Table1[[#This Row],[Total Price]]-Table1[[#This Row],[Discount Amount]]</f>
        <v>89595.199999999997</v>
      </c>
    </row>
    <row r="428" spans="1:15" x14ac:dyDescent="0.3">
      <c r="A428" t="s">
        <v>1317</v>
      </c>
      <c r="B428" s="1">
        <v>45732</v>
      </c>
      <c r="C428" t="s">
        <v>1318</v>
      </c>
      <c r="D428" t="s">
        <v>12</v>
      </c>
      <c r="E428">
        <v>1</v>
      </c>
      <c r="F428">
        <v>3517</v>
      </c>
      <c r="G428" s="9">
        <v>0.34</v>
      </c>
      <c r="H428" t="s">
        <v>50</v>
      </c>
      <c r="I428" t="s">
        <v>1319</v>
      </c>
      <c r="J428" s="13" t="s">
        <v>73</v>
      </c>
      <c r="K428">
        <v>10</v>
      </c>
      <c r="L428" t="s">
        <v>33</v>
      </c>
      <c r="M428">
        <f>Table1[[#This Row],[UnitPrice]]*Table1[[#This Row],[Quantity]]</f>
        <v>3517</v>
      </c>
      <c r="N428">
        <f>Table1[[#This Row],[Total Price]]*Table1[[#This Row],[Discount]]</f>
        <v>1195.78</v>
      </c>
      <c r="O428">
        <f>Table1[[#This Row],[Total Price]]-Table1[[#This Row],[Discount Amount]]</f>
        <v>2321.2200000000003</v>
      </c>
    </row>
    <row r="429" spans="1:15" x14ac:dyDescent="0.3">
      <c r="A429" t="s">
        <v>1320</v>
      </c>
      <c r="B429" s="1">
        <v>45644</v>
      </c>
      <c r="C429" t="s">
        <v>1321</v>
      </c>
      <c r="D429" t="s">
        <v>58</v>
      </c>
      <c r="E429">
        <v>3</v>
      </c>
      <c r="F429">
        <v>8645</v>
      </c>
      <c r="G429" s="9">
        <v>0.32</v>
      </c>
      <c r="H429" t="s">
        <v>26</v>
      </c>
      <c r="I429" t="s">
        <v>1322</v>
      </c>
      <c r="J429" s="14" t="s">
        <v>73</v>
      </c>
      <c r="K429">
        <v>3</v>
      </c>
      <c r="L429" t="s">
        <v>16</v>
      </c>
      <c r="M429">
        <f>Table1[[#This Row],[UnitPrice]]*Table1[[#This Row],[Quantity]]</f>
        <v>25935</v>
      </c>
      <c r="N429">
        <f>Table1[[#This Row],[Total Price]]*Table1[[#This Row],[Discount]]</f>
        <v>8299.2000000000007</v>
      </c>
      <c r="O429">
        <f>Table1[[#This Row],[Total Price]]-Table1[[#This Row],[Discount Amount]]</f>
        <v>17635.8</v>
      </c>
    </row>
    <row r="430" spans="1:15" x14ac:dyDescent="0.3">
      <c r="A430" t="s">
        <v>1323</v>
      </c>
      <c r="B430" s="1">
        <v>45622</v>
      </c>
      <c r="C430" t="s">
        <v>1324</v>
      </c>
      <c r="D430" t="s">
        <v>31</v>
      </c>
      <c r="E430">
        <v>3</v>
      </c>
      <c r="F430">
        <v>19093</v>
      </c>
      <c r="G430" s="9">
        <v>0.04</v>
      </c>
      <c r="H430" t="s">
        <v>20</v>
      </c>
      <c r="I430" t="s">
        <v>1325</v>
      </c>
      <c r="J430" s="13" t="s">
        <v>73</v>
      </c>
      <c r="K430">
        <v>8</v>
      </c>
      <c r="L430" t="s">
        <v>28</v>
      </c>
      <c r="M430">
        <f>Table1[[#This Row],[UnitPrice]]*Table1[[#This Row],[Quantity]]</f>
        <v>57279</v>
      </c>
      <c r="N430">
        <f>Table1[[#This Row],[Total Price]]*Table1[[#This Row],[Discount]]</f>
        <v>2291.16</v>
      </c>
      <c r="O430">
        <f>Table1[[#This Row],[Total Price]]-Table1[[#This Row],[Discount Amount]]</f>
        <v>54987.839999999997</v>
      </c>
    </row>
    <row r="431" spans="1:15" x14ac:dyDescent="0.3">
      <c r="A431" t="s">
        <v>1326</v>
      </c>
      <c r="B431" s="1">
        <v>45645</v>
      </c>
      <c r="C431" t="s">
        <v>1327</v>
      </c>
      <c r="D431" t="s">
        <v>36</v>
      </c>
      <c r="E431">
        <v>2</v>
      </c>
      <c r="F431">
        <v>7759</v>
      </c>
      <c r="G431" s="9">
        <v>0.37</v>
      </c>
      <c r="H431" t="s">
        <v>26</v>
      </c>
      <c r="I431" t="s">
        <v>1328</v>
      </c>
      <c r="J431" s="14" t="s">
        <v>73</v>
      </c>
      <c r="K431">
        <v>9</v>
      </c>
      <c r="L431" t="s">
        <v>33</v>
      </c>
      <c r="M431">
        <f>Table1[[#This Row],[UnitPrice]]*Table1[[#This Row],[Quantity]]</f>
        <v>15518</v>
      </c>
      <c r="N431">
        <f>Table1[[#This Row],[Total Price]]*Table1[[#This Row],[Discount]]</f>
        <v>5741.66</v>
      </c>
      <c r="O431">
        <f>Table1[[#This Row],[Total Price]]-Table1[[#This Row],[Discount Amount]]</f>
        <v>9776.34</v>
      </c>
    </row>
    <row r="432" spans="1:15" x14ac:dyDescent="0.3">
      <c r="A432" t="s">
        <v>1329</v>
      </c>
      <c r="B432" s="1">
        <v>45084</v>
      </c>
      <c r="C432" t="s">
        <v>1330</v>
      </c>
      <c r="D432" t="s">
        <v>19</v>
      </c>
      <c r="E432">
        <v>3</v>
      </c>
      <c r="F432">
        <v>35794</v>
      </c>
      <c r="G432" s="9">
        <v>0.1</v>
      </c>
      <c r="H432" t="s">
        <v>45</v>
      </c>
      <c r="I432" t="s">
        <v>1331</v>
      </c>
      <c r="J432" s="13" t="s">
        <v>14</v>
      </c>
      <c r="K432">
        <v>6</v>
      </c>
      <c r="L432" t="s">
        <v>60</v>
      </c>
      <c r="M432">
        <f>Table1[[#This Row],[UnitPrice]]*Table1[[#This Row],[Quantity]]</f>
        <v>107382</v>
      </c>
      <c r="N432">
        <f>Table1[[#This Row],[Total Price]]*Table1[[#This Row],[Discount]]</f>
        <v>10738.2</v>
      </c>
      <c r="O432">
        <f>Table1[[#This Row],[Total Price]]-Table1[[#This Row],[Discount Amount]]</f>
        <v>96643.8</v>
      </c>
    </row>
    <row r="433" spans="1:15" x14ac:dyDescent="0.3">
      <c r="A433" t="s">
        <v>1332</v>
      </c>
      <c r="B433" s="1">
        <v>45571</v>
      </c>
      <c r="C433" t="s">
        <v>1333</v>
      </c>
      <c r="D433" t="s">
        <v>36</v>
      </c>
      <c r="E433">
        <v>1</v>
      </c>
      <c r="F433">
        <v>5368</v>
      </c>
      <c r="G433" s="9">
        <v>0.19</v>
      </c>
      <c r="H433" t="s">
        <v>13</v>
      </c>
      <c r="I433" t="s">
        <v>1334</v>
      </c>
      <c r="J433" s="14" t="s">
        <v>73</v>
      </c>
      <c r="K433">
        <v>6</v>
      </c>
      <c r="L433" t="s">
        <v>33</v>
      </c>
      <c r="M433">
        <f>Table1[[#This Row],[UnitPrice]]*Table1[[#This Row],[Quantity]]</f>
        <v>5368</v>
      </c>
      <c r="N433">
        <f>Table1[[#This Row],[Total Price]]*Table1[[#This Row],[Discount]]</f>
        <v>1019.92</v>
      </c>
      <c r="O433">
        <f>Table1[[#This Row],[Total Price]]-Table1[[#This Row],[Discount Amount]]</f>
        <v>4348.08</v>
      </c>
    </row>
    <row r="434" spans="1:15" x14ac:dyDescent="0.3">
      <c r="A434" t="s">
        <v>1335</v>
      </c>
      <c r="B434" s="1">
        <v>45173</v>
      </c>
      <c r="C434" t="s">
        <v>1336</v>
      </c>
      <c r="D434" t="s">
        <v>25</v>
      </c>
      <c r="E434">
        <v>1</v>
      </c>
      <c r="F434">
        <v>13810</v>
      </c>
      <c r="G434" s="9">
        <v>0.39</v>
      </c>
      <c r="H434" t="s">
        <v>26</v>
      </c>
      <c r="I434" t="s">
        <v>1337</v>
      </c>
      <c r="J434" s="13" t="s">
        <v>14</v>
      </c>
      <c r="K434">
        <v>6</v>
      </c>
      <c r="L434" t="s">
        <v>22</v>
      </c>
      <c r="M434">
        <f>Table1[[#This Row],[UnitPrice]]*Table1[[#This Row],[Quantity]]</f>
        <v>13810</v>
      </c>
      <c r="N434">
        <f>Table1[[#This Row],[Total Price]]*Table1[[#This Row],[Discount]]</f>
        <v>5385.9000000000005</v>
      </c>
      <c r="O434">
        <f>Table1[[#This Row],[Total Price]]-Table1[[#This Row],[Discount Amount]]</f>
        <v>8424.0999999999985</v>
      </c>
    </row>
    <row r="435" spans="1:15" x14ac:dyDescent="0.3">
      <c r="A435" t="s">
        <v>1338</v>
      </c>
      <c r="B435" s="1">
        <v>45164</v>
      </c>
      <c r="C435" t="s">
        <v>1339</v>
      </c>
      <c r="D435" t="s">
        <v>12</v>
      </c>
      <c r="E435">
        <v>2</v>
      </c>
      <c r="F435">
        <v>9421</v>
      </c>
      <c r="G435" s="9">
        <v>0.47</v>
      </c>
      <c r="H435" t="s">
        <v>26</v>
      </c>
      <c r="I435" t="s">
        <v>1340</v>
      </c>
      <c r="J435" s="14" t="s">
        <v>14</v>
      </c>
      <c r="K435">
        <v>3</v>
      </c>
      <c r="L435" t="s">
        <v>33</v>
      </c>
      <c r="M435">
        <f>Table1[[#This Row],[UnitPrice]]*Table1[[#This Row],[Quantity]]</f>
        <v>18842</v>
      </c>
      <c r="N435">
        <f>Table1[[#This Row],[Total Price]]*Table1[[#This Row],[Discount]]</f>
        <v>8855.74</v>
      </c>
      <c r="O435">
        <f>Table1[[#This Row],[Total Price]]-Table1[[#This Row],[Discount Amount]]</f>
        <v>9986.26</v>
      </c>
    </row>
    <row r="436" spans="1:15" x14ac:dyDescent="0.3">
      <c r="A436" t="s">
        <v>1341</v>
      </c>
      <c r="B436" s="1">
        <v>45221</v>
      </c>
      <c r="C436" t="s">
        <v>1342</v>
      </c>
      <c r="D436" t="s">
        <v>36</v>
      </c>
      <c r="E436">
        <v>3</v>
      </c>
      <c r="F436">
        <v>5675</v>
      </c>
      <c r="G436" s="9">
        <v>0.28000000000000003</v>
      </c>
      <c r="H436" t="s">
        <v>26</v>
      </c>
      <c r="I436" t="s">
        <v>1343</v>
      </c>
      <c r="J436" s="13" t="s">
        <v>73</v>
      </c>
      <c r="K436">
        <v>6</v>
      </c>
      <c r="L436" t="s">
        <v>33</v>
      </c>
      <c r="M436">
        <f>Table1[[#This Row],[UnitPrice]]*Table1[[#This Row],[Quantity]]</f>
        <v>17025</v>
      </c>
      <c r="N436">
        <f>Table1[[#This Row],[Total Price]]*Table1[[#This Row],[Discount]]</f>
        <v>4767</v>
      </c>
      <c r="O436">
        <f>Table1[[#This Row],[Total Price]]-Table1[[#This Row],[Discount Amount]]</f>
        <v>12258</v>
      </c>
    </row>
    <row r="437" spans="1:15" x14ac:dyDescent="0.3">
      <c r="A437" t="s">
        <v>1344</v>
      </c>
      <c r="B437" s="1">
        <v>45073</v>
      </c>
      <c r="C437" t="s">
        <v>1345</v>
      </c>
      <c r="D437" t="s">
        <v>36</v>
      </c>
      <c r="E437">
        <v>1</v>
      </c>
      <c r="F437">
        <v>7869</v>
      </c>
      <c r="G437" s="9">
        <v>0.26</v>
      </c>
      <c r="H437" t="s">
        <v>13</v>
      </c>
      <c r="I437" t="s">
        <v>1346</v>
      </c>
      <c r="J437" s="14" t="s">
        <v>14</v>
      </c>
      <c r="K437">
        <v>3</v>
      </c>
      <c r="L437" t="s">
        <v>16</v>
      </c>
      <c r="M437">
        <f>Table1[[#This Row],[UnitPrice]]*Table1[[#This Row],[Quantity]]</f>
        <v>7869</v>
      </c>
      <c r="N437">
        <f>Table1[[#This Row],[Total Price]]*Table1[[#This Row],[Discount]]</f>
        <v>2045.94</v>
      </c>
      <c r="O437">
        <f>Table1[[#This Row],[Total Price]]-Table1[[#This Row],[Discount Amount]]</f>
        <v>5823.0599999999995</v>
      </c>
    </row>
    <row r="438" spans="1:15" x14ac:dyDescent="0.3">
      <c r="A438" t="s">
        <v>1347</v>
      </c>
      <c r="B438" s="1">
        <v>44968</v>
      </c>
      <c r="C438" t="s">
        <v>1348</v>
      </c>
      <c r="D438" t="s">
        <v>44</v>
      </c>
      <c r="E438">
        <v>3</v>
      </c>
      <c r="F438">
        <v>61001</v>
      </c>
      <c r="G438" s="9">
        <v>0.25</v>
      </c>
      <c r="H438" t="s">
        <v>20</v>
      </c>
      <c r="I438" t="s">
        <v>1349</v>
      </c>
      <c r="J438" s="13" t="s">
        <v>73</v>
      </c>
      <c r="K438">
        <v>5</v>
      </c>
      <c r="L438" t="s">
        <v>60</v>
      </c>
      <c r="M438">
        <f>Table1[[#This Row],[UnitPrice]]*Table1[[#This Row],[Quantity]]</f>
        <v>183003</v>
      </c>
      <c r="N438">
        <f>Table1[[#This Row],[Total Price]]*Table1[[#This Row],[Discount]]</f>
        <v>45750.75</v>
      </c>
      <c r="O438">
        <f>Table1[[#This Row],[Total Price]]-Table1[[#This Row],[Discount Amount]]</f>
        <v>137252.25</v>
      </c>
    </row>
    <row r="439" spans="1:15" x14ac:dyDescent="0.3">
      <c r="A439" t="s">
        <v>1350</v>
      </c>
      <c r="B439" s="1">
        <v>45400</v>
      </c>
      <c r="C439" t="s">
        <v>1351</v>
      </c>
      <c r="D439" t="s">
        <v>19</v>
      </c>
      <c r="E439">
        <v>1</v>
      </c>
      <c r="F439">
        <v>41212</v>
      </c>
      <c r="G439" s="9">
        <v>0.41</v>
      </c>
      <c r="H439" t="s">
        <v>20</v>
      </c>
      <c r="I439" t="s">
        <v>1352</v>
      </c>
      <c r="J439" s="14" t="s">
        <v>37</v>
      </c>
      <c r="K439">
        <v>2</v>
      </c>
      <c r="L439" t="s">
        <v>16</v>
      </c>
      <c r="M439">
        <f>Table1[[#This Row],[UnitPrice]]*Table1[[#This Row],[Quantity]]</f>
        <v>41212</v>
      </c>
      <c r="N439">
        <f>Table1[[#This Row],[Total Price]]*Table1[[#This Row],[Discount]]</f>
        <v>16896.919999999998</v>
      </c>
      <c r="O439">
        <f>Table1[[#This Row],[Total Price]]-Table1[[#This Row],[Discount Amount]]</f>
        <v>24315.08</v>
      </c>
    </row>
    <row r="440" spans="1:15" x14ac:dyDescent="0.3">
      <c r="A440" t="s">
        <v>1353</v>
      </c>
      <c r="B440" s="1">
        <v>45660</v>
      </c>
      <c r="C440" t="s">
        <v>1354</v>
      </c>
      <c r="D440" t="s">
        <v>25</v>
      </c>
      <c r="E440">
        <v>1</v>
      </c>
      <c r="F440">
        <v>15184</v>
      </c>
      <c r="G440" s="9">
        <v>0.5</v>
      </c>
      <c r="H440" t="s">
        <v>45</v>
      </c>
      <c r="I440" t="s">
        <v>1355</v>
      </c>
      <c r="J440" s="13" t="s">
        <v>73</v>
      </c>
      <c r="K440">
        <v>3</v>
      </c>
      <c r="L440" t="s">
        <v>16</v>
      </c>
      <c r="M440">
        <f>Table1[[#This Row],[UnitPrice]]*Table1[[#This Row],[Quantity]]</f>
        <v>15184</v>
      </c>
      <c r="N440">
        <f>Table1[[#This Row],[Total Price]]*Table1[[#This Row],[Discount]]</f>
        <v>7592</v>
      </c>
      <c r="O440">
        <f>Table1[[#This Row],[Total Price]]-Table1[[#This Row],[Discount Amount]]</f>
        <v>7592</v>
      </c>
    </row>
    <row r="441" spans="1:15" x14ac:dyDescent="0.3">
      <c r="A441" t="s">
        <v>1356</v>
      </c>
      <c r="B441" s="1">
        <v>45543</v>
      </c>
      <c r="C441" t="s">
        <v>1357</v>
      </c>
      <c r="D441" t="s">
        <v>25</v>
      </c>
      <c r="E441">
        <v>2</v>
      </c>
      <c r="F441">
        <v>11118</v>
      </c>
      <c r="G441" s="9">
        <v>0.32</v>
      </c>
      <c r="H441" t="s">
        <v>20</v>
      </c>
      <c r="I441" t="s">
        <v>1358</v>
      </c>
      <c r="J441" s="14" t="s">
        <v>14</v>
      </c>
      <c r="K441">
        <v>4</v>
      </c>
      <c r="L441" t="s">
        <v>33</v>
      </c>
      <c r="M441">
        <f>Table1[[#This Row],[UnitPrice]]*Table1[[#This Row],[Quantity]]</f>
        <v>22236</v>
      </c>
      <c r="N441">
        <f>Table1[[#This Row],[Total Price]]*Table1[[#This Row],[Discount]]</f>
        <v>7115.52</v>
      </c>
      <c r="O441">
        <f>Table1[[#This Row],[Total Price]]-Table1[[#This Row],[Discount Amount]]</f>
        <v>15120.48</v>
      </c>
    </row>
    <row r="442" spans="1:15" x14ac:dyDescent="0.3">
      <c r="A442" t="s">
        <v>1359</v>
      </c>
      <c r="B442" s="1">
        <v>45601</v>
      </c>
      <c r="C442" t="s">
        <v>1360</v>
      </c>
      <c r="D442" t="s">
        <v>58</v>
      </c>
      <c r="E442">
        <v>2</v>
      </c>
      <c r="F442">
        <v>1370</v>
      </c>
      <c r="G442" s="9">
        <v>0.19</v>
      </c>
      <c r="H442" t="s">
        <v>13</v>
      </c>
      <c r="I442" t="s">
        <v>1361</v>
      </c>
      <c r="J442" s="13" t="s">
        <v>73</v>
      </c>
      <c r="K442">
        <v>4</v>
      </c>
      <c r="L442" t="s">
        <v>33</v>
      </c>
      <c r="M442">
        <f>Table1[[#This Row],[UnitPrice]]*Table1[[#This Row],[Quantity]]</f>
        <v>2740</v>
      </c>
      <c r="N442">
        <f>Table1[[#This Row],[Total Price]]*Table1[[#This Row],[Discount]]</f>
        <v>520.6</v>
      </c>
      <c r="O442">
        <f>Table1[[#This Row],[Total Price]]-Table1[[#This Row],[Discount Amount]]</f>
        <v>2219.4</v>
      </c>
    </row>
    <row r="443" spans="1:15" x14ac:dyDescent="0.3">
      <c r="A443" t="s">
        <v>1362</v>
      </c>
      <c r="B443" s="1">
        <v>45273</v>
      </c>
      <c r="C443" t="s">
        <v>1363</v>
      </c>
      <c r="D443" t="s">
        <v>36</v>
      </c>
      <c r="E443">
        <v>1</v>
      </c>
      <c r="F443">
        <v>9080</v>
      </c>
      <c r="G443" s="9">
        <v>0.11</v>
      </c>
      <c r="H443" t="s">
        <v>45</v>
      </c>
      <c r="I443" t="s">
        <v>1364</v>
      </c>
      <c r="J443" s="14" t="s">
        <v>73</v>
      </c>
      <c r="K443">
        <v>6</v>
      </c>
      <c r="L443" t="s">
        <v>28</v>
      </c>
      <c r="M443">
        <f>Table1[[#This Row],[UnitPrice]]*Table1[[#This Row],[Quantity]]</f>
        <v>9080</v>
      </c>
      <c r="N443">
        <f>Table1[[#This Row],[Total Price]]*Table1[[#This Row],[Discount]]</f>
        <v>998.8</v>
      </c>
      <c r="O443">
        <f>Table1[[#This Row],[Total Price]]-Table1[[#This Row],[Discount Amount]]</f>
        <v>8081.2</v>
      </c>
    </row>
    <row r="444" spans="1:15" x14ac:dyDescent="0.3">
      <c r="A444" t="s">
        <v>1365</v>
      </c>
      <c r="B444" s="1">
        <v>45418</v>
      </c>
      <c r="C444" t="s">
        <v>1366</v>
      </c>
      <c r="D444" t="s">
        <v>31</v>
      </c>
      <c r="E444">
        <v>1</v>
      </c>
      <c r="F444">
        <v>16755</v>
      </c>
      <c r="G444" s="9">
        <v>0.1</v>
      </c>
      <c r="H444" t="s">
        <v>50</v>
      </c>
      <c r="I444" t="s">
        <v>1367</v>
      </c>
      <c r="J444" s="13" t="s">
        <v>73</v>
      </c>
      <c r="K444">
        <v>8</v>
      </c>
      <c r="L444" t="s">
        <v>16</v>
      </c>
      <c r="M444">
        <f>Table1[[#This Row],[UnitPrice]]*Table1[[#This Row],[Quantity]]</f>
        <v>16755</v>
      </c>
      <c r="N444">
        <f>Table1[[#This Row],[Total Price]]*Table1[[#This Row],[Discount]]</f>
        <v>1675.5</v>
      </c>
      <c r="O444">
        <f>Table1[[#This Row],[Total Price]]-Table1[[#This Row],[Discount Amount]]</f>
        <v>15079.5</v>
      </c>
    </row>
    <row r="445" spans="1:15" x14ac:dyDescent="0.3">
      <c r="A445" t="s">
        <v>1368</v>
      </c>
      <c r="B445" s="1">
        <v>45426</v>
      </c>
      <c r="C445" t="s">
        <v>1369</v>
      </c>
      <c r="D445" t="s">
        <v>31</v>
      </c>
      <c r="E445">
        <v>1</v>
      </c>
      <c r="F445">
        <v>20546</v>
      </c>
      <c r="G445" s="9">
        <v>0.43</v>
      </c>
      <c r="H445" t="s">
        <v>50</v>
      </c>
      <c r="I445" t="s">
        <v>1370</v>
      </c>
      <c r="J445" s="14" t="s">
        <v>73</v>
      </c>
      <c r="K445">
        <v>6</v>
      </c>
      <c r="L445" t="s">
        <v>33</v>
      </c>
      <c r="M445">
        <f>Table1[[#This Row],[UnitPrice]]*Table1[[#This Row],[Quantity]]</f>
        <v>20546</v>
      </c>
      <c r="N445">
        <f>Table1[[#This Row],[Total Price]]*Table1[[#This Row],[Discount]]</f>
        <v>8834.7800000000007</v>
      </c>
      <c r="O445">
        <f>Table1[[#This Row],[Total Price]]-Table1[[#This Row],[Discount Amount]]</f>
        <v>11711.22</v>
      </c>
    </row>
    <row r="446" spans="1:15" x14ac:dyDescent="0.3">
      <c r="A446" t="s">
        <v>1371</v>
      </c>
      <c r="B446" s="1">
        <v>45451</v>
      </c>
      <c r="C446" t="s">
        <v>1372</v>
      </c>
      <c r="D446" t="s">
        <v>36</v>
      </c>
      <c r="E446">
        <v>1</v>
      </c>
      <c r="F446">
        <v>7028</v>
      </c>
      <c r="G446" s="9">
        <v>0.5</v>
      </c>
      <c r="H446" t="s">
        <v>20</v>
      </c>
      <c r="I446" t="s">
        <v>1373</v>
      </c>
      <c r="J446" s="13" t="s">
        <v>14</v>
      </c>
      <c r="K446">
        <v>6</v>
      </c>
      <c r="L446" t="s">
        <v>16</v>
      </c>
      <c r="M446">
        <f>Table1[[#This Row],[UnitPrice]]*Table1[[#This Row],[Quantity]]</f>
        <v>7028</v>
      </c>
      <c r="N446">
        <f>Table1[[#This Row],[Total Price]]*Table1[[#This Row],[Discount]]</f>
        <v>3514</v>
      </c>
      <c r="O446">
        <f>Table1[[#This Row],[Total Price]]-Table1[[#This Row],[Discount Amount]]</f>
        <v>3514</v>
      </c>
    </row>
    <row r="447" spans="1:15" x14ac:dyDescent="0.3">
      <c r="A447" t="s">
        <v>1374</v>
      </c>
      <c r="B447" s="1">
        <v>45374</v>
      </c>
      <c r="C447" t="s">
        <v>1375</v>
      </c>
      <c r="D447" t="s">
        <v>19</v>
      </c>
      <c r="E447">
        <v>1</v>
      </c>
      <c r="F447">
        <v>32324</v>
      </c>
      <c r="G447" s="9">
        <v>0.35</v>
      </c>
      <c r="H447" t="s">
        <v>50</v>
      </c>
      <c r="I447" t="s">
        <v>1376</v>
      </c>
      <c r="J447" s="14" t="s">
        <v>37</v>
      </c>
      <c r="K447">
        <v>3</v>
      </c>
      <c r="L447" t="s">
        <v>22</v>
      </c>
      <c r="M447">
        <f>Table1[[#This Row],[UnitPrice]]*Table1[[#This Row],[Quantity]]</f>
        <v>32324</v>
      </c>
      <c r="N447">
        <f>Table1[[#This Row],[Total Price]]*Table1[[#This Row],[Discount]]</f>
        <v>11313.4</v>
      </c>
      <c r="O447">
        <f>Table1[[#This Row],[Total Price]]-Table1[[#This Row],[Discount Amount]]</f>
        <v>21010.6</v>
      </c>
    </row>
    <row r="448" spans="1:15" x14ac:dyDescent="0.3">
      <c r="A448" t="s">
        <v>1377</v>
      </c>
      <c r="B448" s="1">
        <v>45217</v>
      </c>
      <c r="C448" t="s">
        <v>1378</v>
      </c>
      <c r="D448" t="s">
        <v>44</v>
      </c>
      <c r="E448">
        <v>2</v>
      </c>
      <c r="F448">
        <v>70317</v>
      </c>
      <c r="G448" s="9">
        <v>0.48</v>
      </c>
      <c r="H448" t="s">
        <v>20</v>
      </c>
      <c r="I448" t="s">
        <v>1379</v>
      </c>
      <c r="J448" s="13" t="s">
        <v>37</v>
      </c>
      <c r="K448">
        <v>6</v>
      </c>
      <c r="L448" t="s">
        <v>16</v>
      </c>
      <c r="M448">
        <f>Table1[[#This Row],[UnitPrice]]*Table1[[#This Row],[Quantity]]</f>
        <v>140634</v>
      </c>
      <c r="N448">
        <f>Table1[[#This Row],[Total Price]]*Table1[[#This Row],[Discount]]</f>
        <v>67504.319999999992</v>
      </c>
      <c r="O448">
        <f>Table1[[#This Row],[Total Price]]-Table1[[#This Row],[Discount Amount]]</f>
        <v>73129.680000000008</v>
      </c>
    </row>
    <row r="449" spans="1:15" x14ac:dyDescent="0.3">
      <c r="A449" t="s">
        <v>1380</v>
      </c>
      <c r="B449" s="1">
        <v>45389</v>
      </c>
      <c r="C449" t="s">
        <v>1381</v>
      </c>
      <c r="D449" t="s">
        <v>36</v>
      </c>
      <c r="E449">
        <v>1</v>
      </c>
      <c r="F449">
        <v>5367</v>
      </c>
      <c r="G449" s="9">
        <v>0.17</v>
      </c>
      <c r="H449" t="s">
        <v>50</v>
      </c>
      <c r="I449" t="s">
        <v>1382</v>
      </c>
      <c r="J449" s="14" t="s">
        <v>14</v>
      </c>
      <c r="K449">
        <v>2</v>
      </c>
      <c r="L449" t="s">
        <v>33</v>
      </c>
      <c r="M449">
        <f>Table1[[#This Row],[UnitPrice]]*Table1[[#This Row],[Quantity]]</f>
        <v>5367</v>
      </c>
      <c r="N449">
        <f>Table1[[#This Row],[Total Price]]*Table1[[#This Row],[Discount]]</f>
        <v>912.3900000000001</v>
      </c>
      <c r="O449">
        <f>Table1[[#This Row],[Total Price]]-Table1[[#This Row],[Discount Amount]]</f>
        <v>4454.6099999999997</v>
      </c>
    </row>
    <row r="450" spans="1:15" x14ac:dyDescent="0.3">
      <c r="A450" t="s">
        <v>1383</v>
      </c>
      <c r="B450" s="1">
        <v>45173</v>
      </c>
      <c r="C450" t="s">
        <v>1384</v>
      </c>
      <c r="D450" t="s">
        <v>44</v>
      </c>
      <c r="E450">
        <v>3</v>
      </c>
      <c r="F450">
        <v>57231</v>
      </c>
      <c r="G450" s="9">
        <v>0.31</v>
      </c>
      <c r="H450" t="s">
        <v>50</v>
      </c>
      <c r="I450" t="s">
        <v>1385</v>
      </c>
      <c r="J450" s="13" t="s">
        <v>73</v>
      </c>
      <c r="K450">
        <v>4</v>
      </c>
      <c r="L450" t="s">
        <v>16</v>
      </c>
      <c r="M450">
        <f>Table1[[#This Row],[UnitPrice]]*Table1[[#This Row],[Quantity]]</f>
        <v>171693</v>
      </c>
      <c r="N450">
        <f>Table1[[#This Row],[Total Price]]*Table1[[#This Row],[Discount]]</f>
        <v>53224.83</v>
      </c>
      <c r="O450">
        <f>Table1[[#This Row],[Total Price]]-Table1[[#This Row],[Discount Amount]]</f>
        <v>118468.17</v>
      </c>
    </row>
    <row r="451" spans="1:15" x14ac:dyDescent="0.3">
      <c r="A451" t="s">
        <v>1386</v>
      </c>
      <c r="B451" s="1">
        <v>45530</v>
      </c>
      <c r="C451" t="s">
        <v>1387</v>
      </c>
      <c r="D451" t="s">
        <v>25</v>
      </c>
      <c r="E451">
        <v>3</v>
      </c>
      <c r="F451">
        <v>15894</v>
      </c>
      <c r="G451" s="9">
        <v>0.26</v>
      </c>
      <c r="H451" t="s">
        <v>20</v>
      </c>
      <c r="I451" t="s">
        <v>1388</v>
      </c>
      <c r="J451" s="14" t="s">
        <v>73</v>
      </c>
      <c r="K451">
        <v>3</v>
      </c>
      <c r="L451" t="s">
        <v>16</v>
      </c>
      <c r="M451">
        <f>Table1[[#This Row],[UnitPrice]]*Table1[[#This Row],[Quantity]]</f>
        <v>47682</v>
      </c>
      <c r="N451">
        <f>Table1[[#This Row],[Total Price]]*Table1[[#This Row],[Discount]]</f>
        <v>12397.32</v>
      </c>
      <c r="O451">
        <f>Table1[[#This Row],[Total Price]]-Table1[[#This Row],[Discount Amount]]</f>
        <v>35284.68</v>
      </c>
    </row>
    <row r="452" spans="1:15" x14ac:dyDescent="0.3">
      <c r="A452" t="s">
        <v>1389</v>
      </c>
      <c r="B452" s="1">
        <v>45306</v>
      </c>
      <c r="C452" t="s">
        <v>1390</v>
      </c>
      <c r="D452" t="s">
        <v>12</v>
      </c>
      <c r="E452">
        <v>3</v>
      </c>
      <c r="F452">
        <v>6155</v>
      </c>
      <c r="G452" s="9">
        <v>0.24</v>
      </c>
      <c r="H452" t="s">
        <v>45</v>
      </c>
      <c r="I452" t="s">
        <v>1391</v>
      </c>
      <c r="J452" s="13" t="s">
        <v>37</v>
      </c>
      <c r="K452">
        <v>10</v>
      </c>
      <c r="L452" t="s">
        <v>16</v>
      </c>
      <c r="M452">
        <f>Table1[[#This Row],[UnitPrice]]*Table1[[#This Row],[Quantity]]</f>
        <v>18465</v>
      </c>
      <c r="N452">
        <f>Table1[[#This Row],[Total Price]]*Table1[[#This Row],[Discount]]</f>
        <v>4431.5999999999995</v>
      </c>
      <c r="O452">
        <f>Table1[[#This Row],[Total Price]]-Table1[[#This Row],[Discount Amount]]</f>
        <v>14033.400000000001</v>
      </c>
    </row>
    <row r="453" spans="1:15" x14ac:dyDescent="0.3">
      <c r="A453" t="s">
        <v>1392</v>
      </c>
      <c r="B453" s="1">
        <v>45017</v>
      </c>
      <c r="C453" t="s">
        <v>1393</v>
      </c>
      <c r="D453" t="s">
        <v>12</v>
      </c>
      <c r="E453">
        <v>1</v>
      </c>
      <c r="F453">
        <v>3588</v>
      </c>
      <c r="G453" s="9">
        <v>0.32</v>
      </c>
      <c r="H453" t="s">
        <v>13</v>
      </c>
      <c r="I453" t="s">
        <v>1394</v>
      </c>
      <c r="J453" s="14" t="s">
        <v>73</v>
      </c>
      <c r="K453">
        <v>6</v>
      </c>
      <c r="L453" t="s">
        <v>28</v>
      </c>
      <c r="M453">
        <f>Table1[[#This Row],[UnitPrice]]*Table1[[#This Row],[Quantity]]</f>
        <v>3588</v>
      </c>
      <c r="N453">
        <f>Table1[[#This Row],[Total Price]]*Table1[[#This Row],[Discount]]</f>
        <v>1148.1600000000001</v>
      </c>
      <c r="O453">
        <f>Table1[[#This Row],[Total Price]]-Table1[[#This Row],[Discount Amount]]</f>
        <v>2439.84</v>
      </c>
    </row>
    <row r="454" spans="1:15" x14ac:dyDescent="0.3">
      <c r="A454" t="s">
        <v>1395</v>
      </c>
      <c r="B454" s="1">
        <v>45130</v>
      </c>
      <c r="C454" t="s">
        <v>1396</v>
      </c>
      <c r="D454" t="s">
        <v>36</v>
      </c>
      <c r="E454">
        <v>2</v>
      </c>
      <c r="F454">
        <v>8947</v>
      </c>
      <c r="G454" s="9">
        <v>0.16</v>
      </c>
      <c r="H454" t="s">
        <v>50</v>
      </c>
      <c r="I454" t="s">
        <v>1397</v>
      </c>
      <c r="J454" s="13" t="s">
        <v>73</v>
      </c>
      <c r="K454">
        <v>5</v>
      </c>
      <c r="L454" t="s">
        <v>60</v>
      </c>
      <c r="M454">
        <f>Table1[[#This Row],[UnitPrice]]*Table1[[#This Row],[Quantity]]</f>
        <v>17894</v>
      </c>
      <c r="N454">
        <f>Table1[[#This Row],[Total Price]]*Table1[[#This Row],[Discount]]</f>
        <v>2863.04</v>
      </c>
      <c r="O454">
        <f>Table1[[#This Row],[Total Price]]-Table1[[#This Row],[Discount Amount]]</f>
        <v>15030.96</v>
      </c>
    </row>
    <row r="455" spans="1:15" x14ac:dyDescent="0.3">
      <c r="A455" t="s">
        <v>1398</v>
      </c>
      <c r="B455" s="1">
        <v>45779</v>
      </c>
      <c r="C455" t="s">
        <v>1399</v>
      </c>
      <c r="D455" t="s">
        <v>25</v>
      </c>
      <c r="E455">
        <v>1</v>
      </c>
      <c r="F455">
        <v>4600</v>
      </c>
      <c r="G455" s="9">
        <v>0.32</v>
      </c>
      <c r="H455" t="s">
        <v>50</v>
      </c>
      <c r="I455" t="s">
        <v>1400</v>
      </c>
      <c r="J455" s="14" t="s">
        <v>14</v>
      </c>
      <c r="K455">
        <v>1</v>
      </c>
      <c r="L455" t="s">
        <v>33</v>
      </c>
      <c r="M455">
        <f>Table1[[#This Row],[UnitPrice]]*Table1[[#This Row],[Quantity]]</f>
        <v>4600</v>
      </c>
      <c r="N455">
        <f>Table1[[#This Row],[Total Price]]*Table1[[#This Row],[Discount]]</f>
        <v>1472</v>
      </c>
      <c r="O455">
        <f>Table1[[#This Row],[Total Price]]-Table1[[#This Row],[Discount Amount]]</f>
        <v>3128</v>
      </c>
    </row>
    <row r="456" spans="1:15" x14ac:dyDescent="0.3">
      <c r="A456" t="s">
        <v>1401</v>
      </c>
      <c r="B456" s="1">
        <v>45623</v>
      </c>
      <c r="C456" t="s">
        <v>1402</v>
      </c>
      <c r="D456" t="s">
        <v>44</v>
      </c>
      <c r="E456">
        <v>1</v>
      </c>
      <c r="F456">
        <v>61725</v>
      </c>
      <c r="G456" s="9">
        <v>0.34</v>
      </c>
      <c r="H456" t="s">
        <v>13</v>
      </c>
      <c r="I456" t="s">
        <v>1403</v>
      </c>
      <c r="J456" s="13" t="s">
        <v>73</v>
      </c>
      <c r="K456">
        <v>5</v>
      </c>
      <c r="L456" t="s">
        <v>60</v>
      </c>
      <c r="M456">
        <f>Table1[[#This Row],[UnitPrice]]*Table1[[#This Row],[Quantity]]</f>
        <v>61725</v>
      </c>
      <c r="N456">
        <f>Table1[[#This Row],[Total Price]]*Table1[[#This Row],[Discount]]</f>
        <v>20986.5</v>
      </c>
      <c r="O456">
        <f>Table1[[#This Row],[Total Price]]-Table1[[#This Row],[Discount Amount]]</f>
        <v>40738.5</v>
      </c>
    </row>
    <row r="457" spans="1:15" x14ac:dyDescent="0.3">
      <c r="A457" t="s">
        <v>1404</v>
      </c>
      <c r="B457" s="1">
        <v>45377</v>
      </c>
      <c r="C457" t="s">
        <v>1405</v>
      </c>
      <c r="D457" t="s">
        <v>19</v>
      </c>
      <c r="E457">
        <v>1</v>
      </c>
      <c r="F457">
        <v>40585</v>
      </c>
      <c r="G457" s="9">
        <v>0.42</v>
      </c>
      <c r="H457" t="s">
        <v>13</v>
      </c>
      <c r="I457" t="s">
        <v>1406</v>
      </c>
      <c r="J457" s="14" t="s">
        <v>73</v>
      </c>
      <c r="K457">
        <v>2</v>
      </c>
      <c r="L457" t="s">
        <v>22</v>
      </c>
      <c r="M457">
        <f>Table1[[#This Row],[UnitPrice]]*Table1[[#This Row],[Quantity]]</f>
        <v>40585</v>
      </c>
      <c r="N457">
        <f>Table1[[#This Row],[Total Price]]*Table1[[#This Row],[Discount]]</f>
        <v>17045.7</v>
      </c>
      <c r="O457">
        <f>Table1[[#This Row],[Total Price]]-Table1[[#This Row],[Discount Amount]]</f>
        <v>23539.3</v>
      </c>
    </row>
    <row r="458" spans="1:15" x14ac:dyDescent="0.3">
      <c r="A458" t="s">
        <v>1407</v>
      </c>
      <c r="B458" s="1">
        <v>45103</v>
      </c>
      <c r="C458" t="s">
        <v>1408</v>
      </c>
      <c r="D458" t="s">
        <v>58</v>
      </c>
      <c r="E458">
        <v>2</v>
      </c>
      <c r="F458">
        <v>1792</v>
      </c>
      <c r="G458" s="9">
        <v>0.37</v>
      </c>
      <c r="H458" t="s">
        <v>26</v>
      </c>
      <c r="I458" t="s">
        <v>1409</v>
      </c>
      <c r="J458" s="13" t="s">
        <v>14</v>
      </c>
      <c r="K458">
        <v>9</v>
      </c>
      <c r="L458" t="s">
        <v>33</v>
      </c>
      <c r="M458">
        <f>Table1[[#This Row],[UnitPrice]]*Table1[[#This Row],[Quantity]]</f>
        <v>3584</v>
      </c>
      <c r="N458">
        <f>Table1[[#This Row],[Total Price]]*Table1[[#This Row],[Discount]]</f>
        <v>1326.08</v>
      </c>
      <c r="O458">
        <f>Table1[[#This Row],[Total Price]]-Table1[[#This Row],[Discount Amount]]</f>
        <v>2257.92</v>
      </c>
    </row>
    <row r="459" spans="1:15" x14ac:dyDescent="0.3">
      <c r="A459" t="s">
        <v>1410</v>
      </c>
      <c r="B459" s="1">
        <v>45802</v>
      </c>
      <c r="C459" t="s">
        <v>1411</v>
      </c>
      <c r="D459" t="s">
        <v>58</v>
      </c>
      <c r="E459">
        <v>2</v>
      </c>
      <c r="F459">
        <v>2773</v>
      </c>
      <c r="G459" s="9">
        <v>0.16</v>
      </c>
      <c r="H459" t="s">
        <v>20</v>
      </c>
      <c r="I459" t="s">
        <v>1412</v>
      </c>
      <c r="J459" s="14" t="s">
        <v>14</v>
      </c>
      <c r="K459">
        <v>4</v>
      </c>
      <c r="L459" t="s">
        <v>16</v>
      </c>
      <c r="M459">
        <f>Table1[[#This Row],[UnitPrice]]*Table1[[#This Row],[Quantity]]</f>
        <v>5546</v>
      </c>
      <c r="N459">
        <f>Table1[[#This Row],[Total Price]]*Table1[[#This Row],[Discount]]</f>
        <v>887.36</v>
      </c>
      <c r="O459">
        <f>Table1[[#This Row],[Total Price]]-Table1[[#This Row],[Discount Amount]]</f>
        <v>4658.6400000000003</v>
      </c>
    </row>
    <row r="460" spans="1:15" x14ac:dyDescent="0.3">
      <c r="A460" t="s">
        <v>1413</v>
      </c>
      <c r="B460" s="1">
        <v>45475</v>
      </c>
      <c r="C460" t="s">
        <v>1414</v>
      </c>
      <c r="D460" t="s">
        <v>12</v>
      </c>
      <c r="E460">
        <v>3</v>
      </c>
      <c r="F460">
        <v>8848</v>
      </c>
      <c r="G460" s="9">
        <v>0.23</v>
      </c>
      <c r="H460" t="s">
        <v>26</v>
      </c>
      <c r="I460" t="s">
        <v>1415</v>
      </c>
      <c r="J460" s="13" t="s">
        <v>73</v>
      </c>
      <c r="K460">
        <v>7</v>
      </c>
      <c r="L460" t="s">
        <v>28</v>
      </c>
      <c r="M460">
        <f>Table1[[#This Row],[UnitPrice]]*Table1[[#This Row],[Quantity]]</f>
        <v>26544</v>
      </c>
      <c r="N460">
        <f>Table1[[#This Row],[Total Price]]*Table1[[#This Row],[Discount]]</f>
        <v>6105.12</v>
      </c>
      <c r="O460">
        <f>Table1[[#This Row],[Total Price]]-Table1[[#This Row],[Discount Amount]]</f>
        <v>20438.88</v>
      </c>
    </row>
    <row r="461" spans="1:15" x14ac:dyDescent="0.3">
      <c r="A461" t="s">
        <v>1416</v>
      </c>
      <c r="B461" s="1">
        <v>45497</v>
      </c>
      <c r="C461" t="s">
        <v>1417</v>
      </c>
      <c r="D461" t="s">
        <v>58</v>
      </c>
      <c r="E461">
        <v>1</v>
      </c>
      <c r="F461">
        <v>9152</v>
      </c>
      <c r="G461" s="9">
        <v>0.06</v>
      </c>
      <c r="H461" t="s">
        <v>26</v>
      </c>
      <c r="I461" t="s">
        <v>1418</v>
      </c>
      <c r="J461" s="14" t="s">
        <v>37</v>
      </c>
      <c r="K461">
        <v>2</v>
      </c>
      <c r="L461" t="s">
        <v>16</v>
      </c>
      <c r="M461">
        <f>Table1[[#This Row],[UnitPrice]]*Table1[[#This Row],[Quantity]]</f>
        <v>9152</v>
      </c>
      <c r="N461">
        <f>Table1[[#This Row],[Total Price]]*Table1[[#This Row],[Discount]]</f>
        <v>549.12</v>
      </c>
      <c r="O461">
        <f>Table1[[#This Row],[Total Price]]-Table1[[#This Row],[Discount Amount]]</f>
        <v>8602.8799999999992</v>
      </c>
    </row>
    <row r="462" spans="1:15" x14ac:dyDescent="0.3">
      <c r="A462" t="s">
        <v>1419</v>
      </c>
      <c r="B462" s="1">
        <v>45571</v>
      </c>
      <c r="C462" t="s">
        <v>1420</v>
      </c>
      <c r="D462" t="s">
        <v>44</v>
      </c>
      <c r="E462">
        <v>3</v>
      </c>
      <c r="F462">
        <v>49857</v>
      </c>
      <c r="G462" s="9">
        <v>0.13</v>
      </c>
      <c r="H462" t="s">
        <v>50</v>
      </c>
      <c r="I462" t="s">
        <v>1421</v>
      </c>
      <c r="J462" s="13" t="s">
        <v>73</v>
      </c>
      <c r="K462">
        <v>2</v>
      </c>
      <c r="L462" t="s">
        <v>22</v>
      </c>
      <c r="M462">
        <f>Table1[[#This Row],[UnitPrice]]*Table1[[#This Row],[Quantity]]</f>
        <v>149571</v>
      </c>
      <c r="N462">
        <f>Table1[[#This Row],[Total Price]]*Table1[[#This Row],[Discount]]</f>
        <v>19444.23</v>
      </c>
      <c r="O462">
        <f>Table1[[#This Row],[Total Price]]-Table1[[#This Row],[Discount Amount]]</f>
        <v>130126.77</v>
      </c>
    </row>
    <row r="463" spans="1:15" x14ac:dyDescent="0.3">
      <c r="A463" t="s">
        <v>1422</v>
      </c>
      <c r="B463" s="1">
        <v>45451</v>
      </c>
      <c r="C463" t="s">
        <v>1423</v>
      </c>
      <c r="D463" t="s">
        <v>25</v>
      </c>
      <c r="E463">
        <v>2</v>
      </c>
      <c r="F463">
        <v>4135</v>
      </c>
      <c r="G463" s="9">
        <v>0.26</v>
      </c>
      <c r="H463" t="s">
        <v>26</v>
      </c>
      <c r="I463" t="s">
        <v>1424</v>
      </c>
      <c r="J463" s="14" t="s">
        <v>14</v>
      </c>
      <c r="K463">
        <v>5</v>
      </c>
      <c r="L463" t="s">
        <v>60</v>
      </c>
      <c r="M463">
        <f>Table1[[#This Row],[UnitPrice]]*Table1[[#This Row],[Quantity]]</f>
        <v>8270</v>
      </c>
      <c r="N463">
        <f>Table1[[#This Row],[Total Price]]*Table1[[#This Row],[Discount]]</f>
        <v>2150.2000000000003</v>
      </c>
      <c r="O463">
        <f>Table1[[#This Row],[Total Price]]-Table1[[#This Row],[Discount Amount]]</f>
        <v>6119.7999999999993</v>
      </c>
    </row>
    <row r="464" spans="1:15" x14ac:dyDescent="0.3">
      <c r="A464" t="s">
        <v>1425</v>
      </c>
      <c r="B464" s="1">
        <v>45747</v>
      </c>
      <c r="C464" t="s">
        <v>1426</v>
      </c>
      <c r="D464" t="s">
        <v>19</v>
      </c>
      <c r="E464">
        <v>1</v>
      </c>
      <c r="F464">
        <v>37650</v>
      </c>
      <c r="G464" s="9">
        <v>0.05</v>
      </c>
      <c r="H464" t="s">
        <v>20</v>
      </c>
      <c r="I464" t="s">
        <v>1427</v>
      </c>
      <c r="J464" s="13" t="s">
        <v>37</v>
      </c>
      <c r="K464">
        <v>1</v>
      </c>
      <c r="L464" t="s">
        <v>22</v>
      </c>
      <c r="M464">
        <f>Table1[[#This Row],[UnitPrice]]*Table1[[#This Row],[Quantity]]</f>
        <v>37650</v>
      </c>
      <c r="N464">
        <f>Table1[[#This Row],[Total Price]]*Table1[[#This Row],[Discount]]</f>
        <v>1882.5</v>
      </c>
      <c r="O464">
        <f>Table1[[#This Row],[Total Price]]-Table1[[#This Row],[Discount Amount]]</f>
        <v>35767.5</v>
      </c>
    </row>
    <row r="465" spans="1:15" x14ac:dyDescent="0.3">
      <c r="A465" t="s">
        <v>1428</v>
      </c>
      <c r="B465" s="1">
        <v>45072</v>
      </c>
      <c r="C465" t="s">
        <v>1429</v>
      </c>
      <c r="D465" t="s">
        <v>44</v>
      </c>
      <c r="E465">
        <v>3</v>
      </c>
      <c r="F465">
        <v>34291</v>
      </c>
      <c r="G465" s="9">
        <v>0.28999999999999998</v>
      </c>
      <c r="H465" t="s">
        <v>13</v>
      </c>
      <c r="I465" t="s">
        <v>1430</v>
      </c>
      <c r="J465" s="14" t="s">
        <v>14</v>
      </c>
      <c r="K465">
        <v>9</v>
      </c>
      <c r="L465" t="s">
        <v>16</v>
      </c>
      <c r="M465">
        <f>Table1[[#This Row],[UnitPrice]]*Table1[[#This Row],[Quantity]]</f>
        <v>102873</v>
      </c>
      <c r="N465">
        <f>Table1[[#This Row],[Total Price]]*Table1[[#This Row],[Discount]]</f>
        <v>29833.17</v>
      </c>
      <c r="O465">
        <f>Table1[[#This Row],[Total Price]]-Table1[[#This Row],[Discount Amount]]</f>
        <v>73039.83</v>
      </c>
    </row>
    <row r="466" spans="1:15" x14ac:dyDescent="0.3">
      <c r="A466" t="s">
        <v>1431</v>
      </c>
      <c r="B466" s="1">
        <v>44999</v>
      </c>
      <c r="C466" t="s">
        <v>1432</v>
      </c>
      <c r="D466" t="s">
        <v>25</v>
      </c>
      <c r="E466">
        <v>2</v>
      </c>
      <c r="F466">
        <v>18216</v>
      </c>
      <c r="G466" s="9">
        <v>0.2</v>
      </c>
      <c r="H466" t="s">
        <v>20</v>
      </c>
      <c r="I466" t="s">
        <v>1433</v>
      </c>
      <c r="J466" s="13" t="s">
        <v>37</v>
      </c>
      <c r="K466">
        <v>6</v>
      </c>
      <c r="L466" t="s">
        <v>60</v>
      </c>
      <c r="M466">
        <f>Table1[[#This Row],[UnitPrice]]*Table1[[#This Row],[Quantity]]</f>
        <v>36432</v>
      </c>
      <c r="N466">
        <f>Table1[[#This Row],[Total Price]]*Table1[[#This Row],[Discount]]</f>
        <v>7286.4000000000005</v>
      </c>
      <c r="O466">
        <f>Table1[[#This Row],[Total Price]]-Table1[[#This Row],[Discount Amount]]</f>
        <v>29145.599999999999</v>
      </c>
    </row>
    <row r="467" spans="1:15" x14ac:dyDescent="0.3">
      <c r="A467" t="s">
        <v>1434</v>
      </c>
      <c r="B467" s="1">
        <v>45348</v>
      </c>
      <c r="C467" t="s">
        <v>1435</v>
      </c>
      <c r="D467" t="s">
        <v>36</v>
      </c>
      <c r="E467">
        <v>1</v>
      </c>
      <c r="F467">
        <v>9841</v>
      </c>
      <c r="G467" s="9">
        <v>0.02</v>
      </c>
      <c r="H467" t="s">
        <v>45</v>
      </c>
      <c r="I467" t="s">
        <v>1436</v>
      </c>
      <c r="J467" s="14" t="s">
        <v>37</v>
      </c>
      <c r="K467">
        <v>8</v>
      </c>
      <c r="L467" t="s">
        <v>60</v>
      </c>
      <c r="M467">
        <f>Table1[[#This Row],[UnitPrice]]*Table1[[#This Row],[Quantity]]</f>
        <v>9841</v>
      </c>
      <c r="N467">
        <f>Table1[[#This Row],[Total Price]]*Table1[[#This Row],[Discount]]</f>
        <v>196.82</v>
      </c>
      <c r="O467">
        <f>Table1[[#This Row],[Total Price]]-Table1[[#This Row],[Discount Amount]]</f>
        <v>9644.18</v>
      </c>
    </row>
    <row r="468" spans="1:15" x14ac:dyDescent="0.3">
      <c r="A468" t="s">
        <v>1437</v>
      </c>
      <c r="B468" s="1">
        <v>45125</v>
      </c>
      <c r="C468" t="s">
        <v>1438</v>
      </c>
      <c r="D468" t="s">
        <v>19</v>
      </c>
      <c r="E468">
        <v>1</v>
      </c>
      <c r="F468">
        <v>39208</v>
      </c>
      <c r="G468" s="9">
        <v>0.22</v>
      </c>
      <c r="H468" t="s">
        <v>50</v>
      </c>
      <c r="I468" t="s">
        <v>1439</v>
      </c>
      <c r="J468" s="13" t="s">
        <v>37</v>
      </c>
      <c r="K468">
        <v>4</v>
      </c>
      <c r="L468" t="s">
        <v>22</v>
      </c>
      <c r="M468">
        <f>Table1[[#This Row],[UnitPrice]]*Table1[[#This Row],[Quantity]]</f>
        <v>39208</v>
      </c>
      <c r="N468">
        <f>Table1[[#This Row],[Total Price]]*Table1[[#This Row],[Discount]]</f>
        <v>8625.76</v>
      </c>
      <c r="O468">
        <f>Table1[[#This Row],[Total Price]]-Table1[[#This Row],[Discount Amount]]</f>
        <v>30582.239999999998</v>
      </c>
    </row>
    <row r="469" spans="1:15" x14ac:dyDescent="0.3">
      <c r="A469" t="s">
        <v>1440</v>
      </c>
      <c r="B469" s="1">
        <v>45534</v>
      </c>
      <c r="C469" t="s">
        <v>1441</v>
      </c>
      <c r="D469" t="s">
        <v>58</v>
      </c>
      <c r="E469">
        <v>3</v>
      </c>
      <c r="F469">
        <v>5082</v>
      </c>
      <c r="G469" s="9">
        <v>0.14000000000000001</v>
      </c>
      <c r="H469" t="s">
        <v>50</v>
      </c>
      <c r="I469" t="s">
        <v>1442</v>
      </c>
      <c r="J469" s="14" t="s">
        <v>14</v>
      </c>
      <c r="K469">
        <v>2</v>
      </c>
      <c r="L469" t="s">
        <v>28</v>
      </c>
      <c r="M469">
        <f>Table1[[#This Row],[UnitPrice]]*Table1[[#This Row],[Quantity]]</f>
        <v>15246</v>
      </c>
      <c r="N469">
        <f>Table1[[#This Row],[Total Price]]*Table1[[#This Row],[Discount]]</f>
        <v>2134.44</v>
      </c>
      <c r="O469">
        <f>Table1[[#This Row],[Total Price]]-Table1[[#This Row],[Discount Amount]]</f>
        <v>13111.56</v>
      </c>
    </row>
    <row r="470" spans="1:15" x14ac:dyDescent="0.3">
      <c r="A470" t="s">
        <v>1443</v>
      </c>
      <c r="B470" s="1">
        <v>45829</v>
      </c>
      <c r="C470" t="s">
        <v>1444</v>
      </c>
      <c r="D470" t="s">
        <v>19</v>
      </c>
      <c r="E470">
        <v>2</v>
      </c>
      <c r="F470">
        <v>35520</v>
      </c>
      <c r="G470" s="9">
        <v>0.03</v>
      </c>
      <c r="H470" t="s">
        <v>26</v>
      </c>
      <c r="I470" t="s">
        <v>1445</v>
      </c>
      <c r="J470" s="13" t="s">
        <v>37</v>
      </c>
      <c r="K470">
        <v>5</v>
      </c>
      <c r="L470" t="s">
        <v>28</v>
      </c>
      <c r="M470">
        <f>Table1[[#This Row],[UnitPrice]]*Table1[[#This Row],[Quantity]]</f>
        <v>71040</v>
      </c>
      <c r="N470">
        <f>Table1[[#This Row],[Total Price]]*Table1[[#This Row],[Discount]]</f>
        <v>2131.1999999999998</v>
      </c>
      <c r="O470">
        <f>Table1[[#This Row],[Total Price]]-Table1[[#This Row],[Discount Amount]]</f>
        <v>68908.800000000003</v>
      </c>
    </row>
    <row r="471" spans="1:15" x14ac:dyDescent="0.3">
      <c r="A471" t="s">
        <v>1446</v>
      </c>
      <c r="B471" s="1">
        <v>45256</v>
      </c>
      <c r="C471" t="s">
        <v>1447</v>
      </c>
      <c r="D471" t="s">
        <v>31</v>
      </c>
      <c r="E471">
        <v>2</v>
      </c>
      <c r="F471">
        <v>42038</v>
      </c>
      <c r="G471" s="9">
        <v>0.15</v>
      </c>
      <c r="H471" t="s">
        <v>50</v>
      </c>
      <c r="I471" t="s">
        <v>1448</v>
      </c>
      <c r="J471" s="14" t="s">
        <v>73</v>
      </c>
      <c r="K471">
        <v>5</v>
      </c>
      <c r="L471" t="s">
        <v>33</v>
      </c>
      <c r="M471">
        <f>Table1[[#This Row],[UnitPrice]]*Table1[[#This Row],[Quantity]]</f>
        <v>84076</v>
      </c>
      <c r="N471">
        <f>Table1[[#This Row],[Total Price]]*Table1[[#This Row],[Discount]]</f>
        <v>12611.4</v>
      </c>
      <c r="O471">
        <f>Table1[[#This Row],[Total Price]]-Table1[[#This Row],[Discount Amount]]</f>
        <v>71464.600000000006</v>
      </c>
    </row>
    <row r="472" spans="1:15" x14ac:dyDescent="0.3">
      <c r="A472" t="s">
        <v>1449</v>
      </c>
      <c r="B472" s="1">
        <v>45198</v>
      </c>
      <c r="C472" t="s">
        <v>1450</v>
      </c>
      <c r="D472" t="s">
        <v>25</v>
      </c>
      <c r="E472">
        <v>2</v>
      </c>
      <c r="F472">
        <v>10458</v>
      </c>
      <c r="G472" s="9">
        <v>0.15</v>
      </c>
      <c r="H472" t="s">
        <v>50</v>
      </c>
      <c r="I472" t="s">
        <v>1451</v>
      </c>
      <c r="J472" s="13" t="s">
        <v>14</v>
      </c>
      <c r="K472">
        <v>5</v>
      </c>
      <c r="L472" t="s">
        <v>28</v>
      </c>
      <c r="M472">
        <f>Table1[[#This Row],[UnitPrice]]*Table1[[#This Row],[Quantity]]</f>
        <v>20916</v>
      </c>
      <c r="N472">
        <f>Table1[[#This Row],[Total Price]]*Table1[[#This Row],[Discount]]</f>
        <v>3137.4</v>
      </c>
      <c r="O472">
        <f>Table1[[#This Row],[Total Price]]-Table1[[#This Row],[Discount Amount]]</f>
        <v>17778.599999999999</v>
      </c>
    </row>
    <row r="473" spans="1:15" x14ac:dyDescent="0.3">
      <c r="A473" t="s">
        <v>1452</v>
      </c>
      <c r="B473" s="1">
        <v>45766</v>
      </c>
      <c r="C473" t="s">
        <v>1453</v>
      </c>
      <c r="D473" t="s">
        <v>58</v>
      </c>
      <c r="E473">
        <v>3</v>
      </c>
      <c r="F473">
        <v>6162</v>
      </c>
      <c r="G473" s="9">
        <v>0.18</v>
      </c>
      <c r="H473" t="s">
        <v>20</v>
      </c>
      <c r="I473" t="s">
        <v>1454</v>
      </c>
      <c r="J473" s="14" t="s">
        <v>37</v>
      </c>
      <c r="K473">
        <v>7</v>
      </c>
      <c r="L473" t="s">
        <v>22</v>
      </c>
      <c r="M473">
        <f>Table1[[#This Row],[UnitPrice]]*Table1[[#This Row],[Quantity]]</f>
        <v>18486</v>
      </c>
      <c r="N473">
        <f>Table1[[#This Row],[Total Price]]*Table1[[#This Row],[Discount]]</f>
        <v>3327.48</v>
      </c>
      <c r="O473">
        <f>Table1[[#This Row],[Total Price]]-Table1[[#This Row],[Discount Amount]]</f>
        <v>15158.52</v>
      </c>
    </row>
    <row r="474" spans="1:15" x14ac:dyDescent="0.3">
      <c r="A474" t="s">
        <v>1455</v>
      </c>
      <c r="B474" s="1">
        <v>44932</v>
      </c>
      <c r="C474" t="s">
        <v>1456</v>
      </c>
      <c r="D474" t="s">
        <v>31</v>
      </c>
      <c r="E474">
        <v>1</v>
      </c>
      <c r="F474">
        <v>16530</v>
      </c>
      <c r="G474" s="9">
        <v>0.18</v>
      </c>
      <c r="H474" t="s">
        <v>26</v>
      </c>
      <c r="I474" t="s">
        <v>1457</v>
      </c>
      <c r="J474" s="13" t="s">
        <v>14</v>
      </c>
      <c r="K474">
        <v>8</v>
      </c>
      <c r="L474" t="s">
        <v>22</v>
      </c>
      <c r="M474">
        <f>Table1[[#This Row],[UnitPrice]]*Table1[[#This Row],[Quantity]]</f>
        <v>16530</v>
      </c>
      <c r="N474">
        <f>Table1[[#This Row],[Total Price]]*Table1[[#This Row],[Discount]]</f>
        <v>2975.4</v>
      </c>
      <c r="O474">
        <f>Table1[[#This Row],[Total Price]]-Table1[[#This Row],[Discount Amount]]</f>
        <v>13554.6</v>
      </c>
    </row>
    <row r="475" spans="1:15" x14ac:dyDescent="0.3">
      <c r="A475" t="s">
        <v>1458</v>
      </c>
      <c r="B475" s="1">
        <v>45713</v>
      </c>
      <c r="C475" t="s">
        <v>1459</v>
      </c>
      <c r="D475" t="s">
        <v>31</v>
      </c>
      <c r="E475">
        <v>2</v>
      </c>
      <c r="F475">
        <v>35029</v>
      </c>
      <c r="G475" s="9">
        <v>0.21</v>
      </c>
      <c r="H475" t="s">
        <v>20</v>
      </c>
      <c r="I475" t="s">
        <v>1460</v>
      </c>
      <c r="J475" s="14" t="s">
        <v>14</v>
      </c>
      <c r="K475">
        <v>4</v>
      </c>
      <c r="L475" t="s">
        <v>33</v>
      </c>
      <c r="M475">
        <f>Table1[[#This Row],[UnitPrice]]*Table1[[#This Row],[Quantity]]</f>
        <v>70058</v>
      </c>
      <c r="N475">
        <f>Table1[[#This Row],[Total Price]]*Table1[[#This Row],[Discount]]</f>
        <v>14712.18</v>
      </c>
      <c r="O475">
        <f>Table1[[#This Row],[Total Price]]-Table1[[#This Row],[Discount Amount]]</f>
        <v>55345.82</v>
      </c>
    </row>
    <row r="476" spans="1:15" x14ac:dyDescent="0.3">
      <c r="A476" t="s">
        <v>1461</v>
      </c>
      <c r="B476" s="1">
        <v>45245</v>
      </c>
      <c r="C476" t="s">
        <v>1462</v>
      </c>
      <c r="D476" t="s">
        <v>36</v>
      </c>
      <c r="E476">
        <v>3</v>
      </c>
      <c r="F476">
        <v>9956</v>
      </c>
      <c r="G476" s="9">
        <v>0.05</v>
      </c>
      <c r="H476" t="s">
        <v>26</v>
      </c>
      <c r="I476" t="s">
        <v>1463</v>
      </c>
      <c r="J476" s="13" t="s">
        <v>14</v>
      </c>
      <c r="K476">
        <v>6</v>
      </c>
      <c r="L476" t="s">
        <v>22</v>
      </c>
      <c r="M476">
        <f>Table1[[#This Row],[UnitPrice]]*Table1[[#This Row],[Quantity]]</f>
        <v>29868</v>
      </c>
      <c r="N476">
        <f>Table1[[#This Row],[Total Price]]*Table1[[#This Row],[Discount]]</f>
        <v>1493.4</v>
      </c>
      <c r="O476">
        <f>Table1[[#This Row],[Total Price]]-Table1[[#This Row],[Discount Amount]]</f>
        <v>28374.6</v>
      </c>
    </row>
    <row r="477" spans="1:15" x14ac:dyDescent="0.3">
      <c r="A477" t="s">
        <v>1464</v>
      </c>
      <c r="B477" s="1">
        <v>45766</v>
      </c>
      <c r="C477" t="s">
        <v>1465</v>
      </c>
      <c r="D477" t="s">
        <v>25</v>
      </c>
      <c r="E477">
        <v>2</v>
      </c>
      <c r="F477">
        <v>10769</v>
      </c>
      <c r="G477" s="9">
        <v>0</v>
      </c>
      <c r="H477" t="s">
        <v>50</v>
      </c>
      <c r="I477" t="s">
        <v>1466</v>
      </c>
      <c r="J477" s="14" t="s">
        <v>37</v>
      </c>
      <c r="K477">
        <v>3</v>
      </c>
      <c r="L477" t="s">
        <v>33</v>
      </c>
      <c r="M477">
        <f>Table1[[#This Row],[UnitPrice]]*Table1[[#This Row],[Quantity]]</f>
        <v>21538</v>
      </c>
      <c r="N477">
        <f>Table1[[#This Row],[Total Price]]*Table1[[#This Row],[Discount]]</f>
        <v>0</v>
      </c>
      <c r="O477">
        <f>Table1[[#This Row],[Total Price]]-Table1[[#This Row],[Discount Amount]]</f>
        <v>21538</v>
      </c>
    </row>
    <row r="478" spans="1:15" x14ac:dyDescent="0.3">
      <c r="A478" t="s">
        <v>1467</v>
      </c>
      <c r="B478" s="1">
        <v>45306</v>
      </c>
      <c r="C478" t="s">
        <v>1468</v>
      </c>
      <c r="D478" t="s">
        <v>19</v>
      </c>
      <c r="E478">
        <v>2</v>
      </c>
      <c r="F478">
        <v>21449</v>
      </c>
      <c r="G478" s="9">
        <v>0.37</v>
      </c>
      <c r="H478" t="s">
        <v>20</v>
      </c>
      <c r="I478" t="s">
        <v>1469</v>
      </c>
      <c r="J478" s="13" t="s">
        <v>14</v>
      </c>
      <c r="K478">
        <v>4</v>
      </c>
      <c r="L478" t="s">
        <v>22</v>
      </c>
      <c r="M478">
        <f>Table1[[#This Row],[UnitPrice]]*Table1[[#This Row],[Quantity]]</f>
        <v>42898</v>
      </c>
      <c r="N478">
        <f>Table1[[#This Row],[Total Price]]*Table1[[#This Row],[Discount]]</f>
        <v>15872.26</v>
      </c>
      <c r="O478">
        <f>Table1[[#This Row],[Total Price]]-Table1[[#This Row],[Discount Amount]]</f>
        <v>27025.739999999998</v>
      </c>
    </row>
    <row r="479" spans="1:15" x14ac:dyDescent="0.3">
      <c r="A479" t="s">
        <v>1470</v>
      </c>
      <c r="B479" s="1">
        <v>45721</v>
      </c>
      <c r="C479" t="s">
        <v>1471</v>
      </c>
      <c r="D479" t="s">
        <v>19</v>
      </c>
      <c r="E479">
        <v>3</v>
      </c>
      <c r="F479">
        <v>19155</v>
      </c>
      <c r="G479" s="9">
        <v>0.17</v>
      </c>
      <c r="H479" t="s">
        <v>20</v>
      </c>
      <c r="I479" t="s">
        <v>1472</v>
      </c>
      <c r="J479" s="14" t="s">
        <v>14</v>
      </c>
      <c r="K479">
        <v>5</v>
      </c>
      <c r="L479" t="s">
        <v>60</v>
      </c>
      <c r="M479">
        <f>Table1[[#This Row],[UnitPrice]]*Table1[[#This Row],[Quantity]]</f>
        <v>57465</v>
      </c>
      <c r="N479">
        <f>Table1[[#This Row],[Total Price]]*Table1[[#This Row],[Discount]]</f>
        <v>9769.0500000000011</v>
      </c>
      <c r="O479">
        <f>Table1[[#This Row],[Total Price]]-Table1[[#This Row],[Discount Amount]]</f>
        <v>47695.95</v>
      </c>
    </row>
    <row r="480" spans="1:15" x14ac:dyDescent="0.3">
      <c r="A480" t="s">
        <v>1473</v>
      </c>
      <c r="B480" s="1">
        <v>45597</v>
      </c>
      <c r="C480" t="s">
        <v>1474</v>
      </c>
      <c r="D480" t="s">
        <v>25</v>
      </c>
      <c r="E480">
        <v>2</v>
      </c>
      <c r="F480">
        <v>17239</v>
      </c>
      <c r="G480" s="9">
        <v>0.31</v>
      </c>
      <c r="H480" t="s">
        <v>45</v>
      </c>
      <c r="I480" t="s">
        <v>1475</v>
      </c>
      <c r="J480" s="13" t="s">
        <v>14</v>
      </c>
      <c r="K480">
        <v>6</v>
      </c>
      <c r="L480" t="s">
        <v>22</v>
      </c>
      <c r="M480">
        <f>Table1[[#This Row],[UnitPrice]]*Table1[[#This Row],[Quantity]]</f>
        <v>34478</v>
      </c>
      <c r="N480">
        <f>Table1[[#This Row],[Total Price]]*Table1[[#This Row],[Discount]]</f>
        <v>10688.18</v>
      </c>
      <c r="O480">
        <f>Table1[[#This Row],[Total Price]]-Table1[[#This Row],[Discount Amount]]</f>
        <v>23789.82</v>
      </c>
    </row>
    <row r="481" spans="1:15" x14ac:dyDescent="0.3">
      <c r="A481" t="s">
        <v>1476</v>
      </c>
      <c r="B481" s="1">
        <v>44975</v>
      </c>
      <c r="C481" t="s">
        <v>1477</v>
      </c>
      <c r="D481" t="s">
        <v>12</v>
      </c>
      <c r="E481">
        <v>2</v>
      </c>
      <c r="F481">
        <v>2227</v>
      </c>
      <c r="G481" s="9">
        <v>0.15</v>
      </c>
      <c r="H481" t="s">
        <v>26</v>
      </c>
      <c r="I481" t="s">
        <v>1478</v>
      </c>
      <c r="J481" s="14" t="s">
        <v>73</v>
      </c>
      <c r="K481">
        <v>8</v>
      </c>
      <c r="L481" t="s">
        <v>60</v>
      </c>
      <c r="M481">
        <f>Table1[[#This Row],[UnitPrice]]*Table1[[#This Row],[Quantity]]</f>
        <v>4454</v>
      </c>
      <c r="N481">
        <f>Table1[[#This Row],[Total Price]]*Table1[[#This Row],[Discount]]</f>
        <v>668.1</v>
      </c>
      <c r="O481">
        <f>Table1[[#This Row],[Total Price]]-Table1[[#This Row],[Discount Amount]]</f>
        <v>3785.9</v>
      </c>
    </row>
    <row r="482" spans="1:15" x14ac:dyDescent="0.3">
      <c r="A482" t="s">
        <v>1479</v>
      </c>
      <c r="B482" s="1">
        <v>45093</v>
      </c>
      <c r="C482" t="s">
        <v>1480</v>
      </c>
      <c r="D482" t="s">
        <v>31</v>
      </c>
      <c r="E482">
        <v>3</v>
      </c>
      <c r="F482">
        <v>19469</v>
      </c>
      <c r="G482" s="9">
        <v>0.49</v>
      </c>
      <c r="H482" t="s">
        <v>13</v>
      </c>
      <c r="I482" t="s">
        <v>1481</v>
      </c>
      <c r="J482" s="13" t="s">
        <v>73</v>
      </c>
      <c r="K482">
        <v>6</v>
      </c>
      <c r="L482" t="s">
        <v>22</v>
      </c>
      <c r="M482">
        <f>Table1[[#This Row],[UnitPrice]]*Table1[[#This Row],[Quantity]]</f>
        <v>58407</v>
      </c>
      <c r="N482">
        <f>Table1[[#This Row],[Total Price]]*Table1[[#This Row],[Discount]]</f>
        <v>28619.43</v>
      </c>
      <c r="O482">
        <f>Table1[[#This Row],[Total Price]]-Table1[[#This Row],[Discount Amount]]</f>
        <v>29787.57</v>
      </c>
    </row>
    <row r="483" spans="1:15" x14ac:dyDescent="0.3">
      <c r="A483" t="s">
        <v>1482</v>
      </c>
      <c r="B483" s="1">
        <v>45039</v>
      </c>
      <c r="C483" t="s">
        <v>1483</v>
      </c>
      <c r="D483" t="s">
        <v>44</v>
      </c>
      <c r="E483">
        <v>3</v>
      </c>
      <c r="F483">
        <v>54703</v>
      </c>
      <c r="G483" s="9">
        <v>0.16</v>
      </c>
      <c r="H483" t="s">
        <v>13</v>
      </c>
      <c r="I483" t="s">
        <v>1484</v>
      </c>
      <c r="J483" s="14" t="s">
        <v>37</v>
      </c>
      <c r="K483">
        <v>5</v>
      </c>
      <c r="L483" t="s">
        <v>22</v>
      </c>
      <c r="M483">
        <f>Table1[[#This Row],[UnitPrice]]*Table1[[#This Row],[Quantity]]</f>
        <v>164109</v>
      </c>
      <c r="N483">
        <f>Table1[[#This Row],[Total Price]]*Table1[[#This Row],[Discount]]</f>
        <v>26257.440000000002</v>
      </c>
      <c r="O483">
        <f>Table1[[#This Row],[Total Price]]-Table1[[#This Row],[Discount Amount]]</f>
        <v>137851.56</v>
      </c>
    </row>
    <row r="484" spans="1:15" x14ac:dyDescent="0.3">
      <c r="A484" t="s">
        <v>1485</v>
      </c>
      <c r="B484" s="1">
        <v>45718</v>
      </c>
      <c r="C484" t="s">
        <v>1486</v>
      </c>
      <c r="D484" t="s">
        <v>12</v>
      </c>
      <c r="E484">
        <v>1</v>
      </c>
      <c r="F484">
        <v>2605</v>
      </c>
      <c r="G484" s="9">
        <v>0.3</v>
      </c>
      <c r="H484" t="s">
        <v>20</v>
      </c>
      <c r="I484" t="s">
        <v>1487</v>
      </c>
      <c r="J484" s="13" t="s">
        <v>73</v>
      </c>
      <c r="K484">
        <v>6</v>
      </c>
      <c r="L484" t="s">
        <v>16</v>
      </c>
      <c r="M484">
        <f>Table1[[#This Row],[UnitPrice]]*Table1[[#This Row],[Quantity]]</f>
        <v>2605</v>
      </c>
      <c r="N484">
        <f>Table1[[#This Row],[Total Price]]*Table1[[#This Row],[Discount]]</f>
        <v>781.5</v>
      </c>
      <c r="O484">
        <f>Table1[[#This Row],[Total Price]]-Table1[[#This Row],[Discount Amount]]</f>
        <v>1823.5</v>
      </c>
    </row>
    <row r="485" spans="1:15" x14ac:dyDescent="0.3">
      <c r="A485" t="s">
        <v>1488</v>
      </c>
      <c r="B485" s="1">
        <v>44944</v>
      </c>
      <c r="C485" t="s">
        <v>1489</v>
      </c>
      <c r="D485" t="s">
        <v>19</v>
      </c>
      <c r="E485">
        <v>3</v>
      </c>
      <c r="F485">
        <v>38012</v>
      </c>
      <c r="G485" s="9">
        <v>0.11</v>
      </c>
      <c r="H485" t="s">
        <v>50</v>
      </c>
      <c r="I485" t="s">
        <v>1490</v>
      </c>
      <c r="J485" s="14" t="s">
        <v>73</v>
      </c>
      <c r="K485">
        <v>6</v>
      </c>
      <c r="L485" t="s">
        <v>60</v>
      </c>
      <c r="M485">
        <f>Table1[[#This Row],[UnitPrice]]*Table1[[#This Row],[Quantity]]</f>
        <v>114036</v>
      </c>
      <c r="N485">
        <f>Table1[[#This Row],[Total Price]]*Table1[[#This Row],[Discount]]</f>
        <v>12543.960000000001</v>
      </c>
      <c r="O485">
        <f>Table1[[#This Row],[Total Price]]-Table1[[#This Row],[Discount Amount]]</f>
        <v>101492.04</v>
      </c>
    </row>
    <row r="486" spans="1:15" x14ac:dyDescent="0.3">
      <c r="A486" t="s">
        <v>1491</v>
      </c>
      <c r="B486" s="1">
        <v>45441</v>
      </c>
      <c r="C486" t="s">
        <v>1492</v>
      </c>
      <c r="D486" t="s">
        <v>31</v>
      </c>
      <c r="E486">
        <v>3</v>
      </c>
      <c r="F486">
        <v>30708</v>
      </c>
      <c r="G486" s="9">
        <v>0.26</v>
      </c>
      <c r="H486" t="s">
        <v>50</v>
      </c>
      <c r="I486" t="s">
        <v>1493</v>
      </c>
      <c r="J486" s="13" t="s">
        <v>14</v>
      </c>
      <c r="K486">
        <v>6</v>
      </c>
      <c r="L486" t="s">
        <v>33</v>
      </c>
      <c r="M486">
        <f>Table1[[#This Row],[UnitPrice]]*Table1[[#This Row],[Quantity]]</f>
        <v>92124</v>
      </c>
      <c r="N486">
        <f>Table1[[#This Row],[Total Price]]*Table1[[#This Row],[Discount]]</f>
        <v>23952.240000000002</v>
      </c>
      <c r="O486">
        <f>Table1[[#This Row],[Total Price]]-Table1[[#This Row],[Discount Amount]]</f>
        <v>68171.759999999995</v>
      </c>
    </row>
    <row r="487" spans="1:15" x14ac:dyDescent="0.3">
      <c r="A487" t="s">
        <v>1494</v>
      </c>
      <c r="B487" s="1">
        <v>45139</v>
      </c>
      <c r="C487" t="s">
        <v>1495</v>
      </c>
      <c r="D487" t="s">
        <v>31</v>
      </c>
      <c r="E487">
        <v>1</v>
      </c>
      <c r="F487">
        <v>28049</v>
      </c>
      <c r="G487" s="9">
        <v>0.28999999999999998</v>
      </c>
      <c r="H487" t="s">
        <v>50</v>
      </c>
      <c r="I487" t="s">
        <v>1496</v>
      </c>
      <c r="J487" s="14" t="s">
        <v>14</v>
      </c>
      <c r="K487">
        <v>6</v>
      </c>
      <c r="L487" t="s">
        <v>16</v>
      </c>
      <c r="M487">
        <f>Table1[[#This Row],[UnitPrice]]*Table1[[#This Row],[Quantity]]</f>
        <v>28049</v>
      </c>
      <c r="N487">
        <f>Table1[[#This Row],[Total Price]]*Table1[[#This Row],[Discount]]</f>
        <v>8134.2099999999991</v>
      </c>
      <c r="O487">
        <f>Table1[[#This Row],[Total Price]]-Table1[[#This Row],[Discount Amount]]</f>
        <v>19914.79</v>
      </c>
    </row>
    <row r="488" spans="1:15" x14ac:dyDescent="0.3">
      <c r="A488" t="s">
        <v>1497</v>
      </c>
      <c r="B488" s="1">
        <v>44960</v>
      </c>
      <c r="C488" t="s">
        <v>1498</v>
      </c>
      <c r="D488" t="s">
        <v>36</v>
      </c>
      <c r="E488">
        <v>3</v>
      </c>
      <c r="F488">
        <v>8583</v>
      </c>
      <c r="G488" s="9">
        <v>0.09</v>
      </c>
      <c r="H488" t="s">
        <v>50</v>
      </c>
      <c r="I488" t="s">
        <v>1499</v>
      </c>
      <c r="J488" s="13" t="s">
        <v>14</v>
      </c>
      <c r="K488">
        <v>5</v>
      </c>
      <c r="L488" t="s">
        <v>22</v>
      </c>
      <c r="M488">
        <f>Table1[[#This Row],[UnitPrice]]*Table1[[#This Row],[Quantity]]</f>
        <v>25749</v>
      </c>
      <c r="N488">
        <f>Table1[[#This Row],[Total Price]]*Table1[[#This Row],[Discount]]</f>
        <v>2317.41</v>
      </c>
      <c r="O488">
        <f>Table1[[#This Row],[Total Price]]-Table1[[#This Row],[Discount Amount]]</f>
        <v>23431.59</v>
      </c>
    </row>
    <row r="489" spans="1:15" x14ac:dyDescent="0.3">
      <c r="A489" t="s">
        <v>1500</v>
      </c>
      <c r="B489" s="1">
        <v>44994</v>
      </c>
      <c r="C489" t="s">
        <v>1501</v>
      </c>
      <c r="D489" t="s">
        <v>36</v>
      </c>
      <c r="E489">
        <v>3</v>
      </c>
      <c r="F489">
        <v>8848</v>
      </c>
      <c r="G489" s="9">
        <v>0.06</v>
      </c>
      <c r="H489" t="s">
        <v>26</v>
      </c>
      <c r="I489" t="s">
        <v>1502</v>
      </c>
      <c r="J489" s="14" t="s">
        <v>73</v>
      </c>
      <c r="K489">
        <v>3</v>
      </c>
      <c r="L489" t="s">
        <v>60</v>
      </c>
      <c r="M489">
        <f>Table1[[#This Row],[UnitPrice]]*Table1[[#This Row],[Quantity]]</f>
        <v>26544</v>
      </c>
      <c r="N489">
        <f>Table1[[#This Row],[Total Price]]*Table1[[#This Row],[Discount]]</f>
        <v>1592.6399999999999</v>
      </c>
      <c r="O489">
        <f>Table1[[#This Row],[Total Price]]-Table1[[#This Row],[Discount Amount]]</f>
        <v>24951.360000000001</v>
      </c>
    </row>
    <row r="490" spans="1:15" x14ac:dyDescent="0.3">
      <c r="A490" t="s">
        <v>1503</v>
      </c>
      <c r="B490" s="1">
        <v>45631</v>
      </c>
      <c r="C490" t="s">
        <v>1504</v>
      </c>
      <c r="D490" t="s">
        <v>31</v>
      </c>
      <c r="E490">
        <v>2</v>
      </c>
      <c r="F490">
        <v>48215</v>
      </c>
      <c r="G490" s="9">
        <v>0.49</v>
      </c>
      <c r="H490" t="s">
        <v>20</v>
      </c>
      <c r="I490" t="s">
        <v>1505</v>
      </c>
      <c r="J490" s="13" t="s">
        <v>14</v>
      </c>
      <c r="K490">
        <v>1</v>
      </c>
      <c r="L490" t="s">
        <v>28</v>
      </c>
      <c r="M490">
        <f>Table1[[#This Row],[UnitPrice]]*Table1[[#This Row],[Quantity]]</f>
        <v>96430</v>
      </c>
      <c r="N490">
        <f>Table1[[#This Row],[Total Price]]*Table1[[#This Row],[Discount]]</f>
        <v>47250.7</v>
      </c>
      <c r="O490">
        <f>Table1[[#This Row],[Total Price]]-Table1[[#This Row],[Discount Amount]]</f>
        <v>49179.3</v>
      </c>
    </row>
    <row r="491" spans="1:15" x14ac:dyDescent="0.3">
      <c r="A491" t="s">
        <v>1506</v>
      </c>
      <c r="B491" s="1">
        <v>45174</v>
      </c>
      <c r="C491" t="s">
        <v>1507</v>
      </c>
      <c r="D491" t="s">
        <v>25</v>
      </c>
      <c r="E491">
        <v>2</v>
      </c>
      <c r="F491">
        <v>18499</v>
      </c>
      <c r="G491" s="9">
        <v>0.45</v>
      </c>
      <c r="H491" t="s">
        <v>45</v>
      </c>
      <c r="I491" t="s">
        <v>1508</v>
      </c>
      <c r="J491" s="14" t="s">
        <v>37</v>
      </c>
      <c r="K491">
        <v>7</v>
      </c>
      <c r="L491" t="s">
        <v>28</v>
      </c>
      <c r="M491">
        <f>Table1[[#This Row],[UnitPrice]]*Table1[[#This Row],[Quantity]]</f>
        <v>36998</v>
      </c>
      <c r="N491">
        <f>Table1[[#This Row],[Total Price]]*Table1[[#This Row],[Discount]]</f>
        <v>16649.100000000002</v>
      </c>
      <c r="O491">
        <f>Table1[[#This Row],[Total Price]]-Table1[[#This Row],[Discount Amount]]</f>
        <v>20348.899999999998</v>
      </c>
    </row>
    <row r="492" spans="1:15" x14ac:dyDescent="0.3">
      <c r="A492" t="s">
        <v>1509</v>
      </c>
      <c r="B492" s="1">
        <v>45495</v>
      </c>
      <c r="C492" t="s">
        <v>1510</v>
      </c>
      <c r="D492" t="s">
        <v>31</v>
      </c>
      <c r="E492">
        <v>2</v>
      </c>
      <c r="F492">
        <v>24635</v>
      </c>
      <c r="G492" s="9">
        <v>0.33</v>
      </c>
      <c r="H492" t="s">
        <v>20</v>
      </c>
      <c r="I492" t="s">
        <v>1511</v>
      </c>
      <c r="J492" s="13" t="s">
        <v>14</v>
      </c>
      <c r="K492">
        <v>10</v>
      </c>
      <c r="L492" t="s">
        <v>33</v>
      </c>
      <c r="M492">
        <f>Table1[[#This Row],[UnitPrice]]*Table1[[#This Row],[Quantity]]</f>
        <v>49270</v>
      </c>
      <c r="N492">
        <f>Table1[[#This Row],[Total Price]]*Table1[[#This Row],[Discount]]</f>
        <v>16259.1</v>
      </c>
      <c r="O492">
        <f>Table1[[#This Row],[Total Price]]-Table1[[#This Row],[Discount Amount]]</f>
        <v>33010.9</v>
      </c>
    </row>
    <row r="493" spans="1:15" x14ac:dyDescent="0.3">
      <c r="A493" t="s">
        <v>1512</v>
      </c>
      <c r="B493" s="1">
        <v>44931</v>
      </c>
      <c r="C493" t="s">
        <v>1513</v>
      </c>
      <c r="D493" t="s">
        <v>19</v>
      </c>
      <c r="E493">
        <v>2</v>
      </c>
      <c r="F493">
        <v>46038</v>
      </c>
      <c r="G493" s="9">
        <v>0.43</v>
      </c>
      <c r="H493" t="s">
        <v>50</v>
      </c>
      <c r="I493" t="s">
        <v>1514</v>
      </c>
      <c r="J493" s="14" t="s">
        <v>73</v>
      </c>
      <c r="K493">
        <v>5</v>
      </c>
      <c r="L493" t="s">
        <v>33</v>
      </c>
      <c r="M493">
        <f>Table1[[#This Row],[UnitPrice]]*Table1[[#This Row],[Quantity]]</f>
        <v>92076</v>
      </c>
      <c r="N493">
        <f>Table1[[#This Row],[Total Price]]*Table1[[#This Row],[Discount]]</f>
        <v>39592.68</v>
      </c>
      <c r="O493">
        <f>Table1[[#This Row],[Total Price]]-Table1[[#This Row],[Discount Amount]]</f>
        <v>52483.32</v>
      </c>
    </row>
    <row r="494" spans="1:15" x14ac:dyDescent="0.3">
      <c r="A494" t="s">
        <v>1515</v>
      </c>
      <c r="B494" s="1">
        <v>45224</v>
      </c>
      <c r="C494" t="s">
        <v>1516</v>
      </c>
      <c r="D494" t="s">
        <v>44</v>
      </c>
      <c r="E494">
        <v>3</v>
      </c>
      <c r="F494">
        <v>37578</v>
      </c>
      <c r="G494" s="9">
        <v>0.05</v>
      </c>
      <c r="H494" t="s">
        <v>13</v>
      </c>
      <c r="I494" t="s">
        <v>1517</v>
      </c>
      <c r="J494" s="13" t="s">
        <v>14</v>
      </c>
      <c r="K494">
        <v>6</v>
      </c>
      <c r="L494" t="s">
        <v>16</v>
      </c>
      <c r="M494">
        <f>Table1[[#This Row],[UnitPrice]]*Table1[[#This Row],[Quantity]]</f>
        <v>112734</v>
      </c>
      <c r="N494">
        <f>Table1[[#This Row],[Total Price]]*Table1[[#This Row],[Discount]]</f>
        <v>5636.7000000000007</v>
      </c>
      <c r="O494">
        <f>Table1[[#This Row],[Total Price]]-Table1[[#This Row],[Discount Amount]]</f>
        <v>107097.3</v>
      </c>
    </row>
    <row r="495" spans="1:15" x14ac:dyDescent="0.3">
      <c r="A495" t="s">
        <v>1518</v>
      </c>
      <c r="B495" s="1">
        <v>45685</v>
      </c>
      <c r="C495" t="s">
        <v>1519</v>
      </c>
      <c r="D495" t="s">
        <v>19</v>
      </c>
      <c r="E495">
        <v>3</v>
      </c>
      <c r="F495">
        <v>34018</v>
      </c>
      <c r="G495" s="9">
        <v>0.36</v>
      </c>
      <c r="H495" t="s">
        <v>26</v>
      </c>
      <c r="I495" t="s">
        <v>1520</v>
      </c>
      <c r="J495" s="14" t="s">
        <v>73</v>
      </c>
      <c r="K495">
        <v>4</v>
      </c>
      <c r="L495" t="s">
        <v>33</v>
      </c>
      <c r="M495">
        <f>Table1[[#This Row],[UnitPrice]]*Table1[[#This Row],[Quantity]]</f>
        <v>102054</v>
      </c>
      <c r="N495">
        <f>Table1[[#This Row],[Total Price]]*Table1[[#This Row],[Discount]]</f>
        <v>36739.439999999995</v>
      </c>
      <c r="O495">
        <f>Table1[[#This Row],[Total Price]]-Table1[[#This Row],[Discount Amount]]</f>
        <v>65314.560000000005</v>
      </c>
    </row>
    <row r="496" spans="1:15" x14ac:dyDescent="0.3">
      <c r="A496" t="s">
        <v>1521</v>
      </c>
      <c r="B496" s="1">
        <v>45126</v>
      </c>
      <c r="C496" t="s">
        <v>1522</v>
      </c>
      <c r="D496" t="s">
        <v>44</v>
      </c>
      <c r="E496">
        <v>2</v>
      </c>
      <c r="F496">
        <v>21825</v>
      </c>
      <c r="G496" s="9">
        <v>0.14000000000000001</v>
      </c>
      <c r="H496" t="s">
        <v>13</v>
      </c>
      <c r="I496" t="s">
        <v>1523</v>
      </c>
      <c r="J496" s="13" t="s">
        <v>73</v>
      </c>
      <c r="K496">
        <v>3</v>
      </c>
      <c r="L496" t="s">
        <v>22</v>
      </c>
      <c r="M496">
        <f>Table1[[#This Row],[UnitPrice]]*Table1[[#This Row],[Quantity]]</f>
        <v>43650</v>
      </c>
      <c r="N496">
        <f>Table1[[#This Row],[Total Price]]*Table1[[#This Row],[Discount]]</f>
        <v>6111.0000000000009</v>
      </c>
      <c r="O496">
        <f>Table1[[#This Row],[Total Price]]-Table1[[#This Row],[Discount Amount]]</f>
        <v>37539</v>
      </c>
    </row>
    <row r="497" spans="1:15" x14ac:dyDescent="0.3">
      <c r="A497" t="s">
        <v>1524</v>
      </c>
      <c r="B497" s="1">
        <v>45813</v>
      </c>
      <c r="C497" t="s">
        <v>1525</v>
      </c>
      <c r="D497" t="s">
        <v>19</v>
      </c>
      <c r="E497">
        <v>2</v>
      </c>
      <c r="F497">
        <v>28674</v>
      </c>
      <c r="G497" s="9">
        <v>0.27</v>
      </c>
      <c r="H497" t="s">
        <v>13</v>
      </c>
      <c r="I497" t="s">
        <v>1526</v>
      </c>
      <c r="J497" s="14" t="s">
        <v>73</v>
      </c>
      <c r="K497">
        <v>6</v>
      </c>
      <c r="L497" t="s">
        <v>33</v>
      </c>
      <c r="M497">
        <f>Table1[[#This Row],[UnitPrice]]*Table1[[#This Row],[Quantity]]</f>
        <v>57348</v>
      </c>
      <c r="N497">
        <f>Table1[[#This Row],[Total Price]]*Table1[[#This Row],[Discount]]</f>
        <v>15483.960000000001</v>
      </c>
      <c r="O497">
        <f>Table1[[#This Row],[Total Price]]-Table1[[#This Row],[Discount Amount]]</f>
        <v>41864.04</v>
      </c>
    </row>
    <row r="498" spans="1:15" x14ac:dyDescent="0.3">
      <c r="A498" t="s">
        <v>1527</v>
      </c>
      <c r="B498" s="1">
        <v>45730</v>
      </c>
      <c r="C498" t="s">
        <v>1528</v>
      </c>
      <c r="D498" t="s">
        <v>36</v>
      </c>
      <c r="E498">
        <v>2</v>
      </c>
      <c r="F498">
        <v>8056</v>
      </c>
      <c r="G498" s="9">
        <v>0.38</v>
      </c>
      <c r="H498" t="s">
        <v>20</v>
      </c>
      <c r="I498" t="s">
        <v>1529</v>
      </c>
      <c r="J498" s="13" t="s">
        <v>73</v>
      </c>
      <c r="K498">
        <v>3</v>
      </c>
      <c r="L498" t="s">
        <v>60</v>
      </c>
      <c r="M498">
        <f>Table1[[#This Row],[UnitPrice]]*Table1[[#This Row],[Quantity]]</f>
        <v>16112</v>
      </c>
      <c r="N498">
        <f>Table1[[#This Row],[Total Price]]*Table1[[#This Row],[Discount]]</f>
        <v>6122.56</v>
      </c>
      <c r="O498">
        <f>Table1[[#This Row],[Total Price]]-Table1[[#This Row],[Discount Amount]]</f>
        <v>9989.4399999999987</v>
      </c>
    </row>
    <row r="499" spans="1:15" x14ac:dyDescent="0.3">
      <c r="A499" t="s">
        <v>1530</v>
      </c>
      <c r="B499" s="1">
        <v>45589</v>
      </c>
      <c r="C499" t="s">
        <v>1531</v>
      </c>
      <c r="D499" t="s">
        <v>36</v>
      </c>
      <c r="E499">
        <v>2</v>
      </c>
      <c r="F499">
        <v>8920</v>
      </c>
      <c r="G499" s="9">
        <v>0.02</v>
      </c>
      <c r="H499" t="s">
        <v>45</v>
      </c>
      <c r="I499" t="s">
        <v>1532</v>
      </c>
      <c r="J499" s="14" t="s">
        <v>14</v>
      </c>
      <c r="K499">
        <v>6</v>
      </c>
      <c r="L499" t="s">
        <v>60</v>
      </c>
      <c r="M499">
        <f>Table1[[#This Row],[UnitPrice]]*Table1[[#This Row],[Quantity]]</f>
        <v>17840</v>
      </c>
      <c r="N499">
        <f>Table1[[#This Row],[Total Price]]*Table1[[#This Row],[Discount]]</f>
        <v>356.8</v>
      </c>
      <c r="O499">
        <f>Table1[[#This Row],[Total Price]]-Table1[[#This Row],[Discount Amount]]</f>
        <v>17483.2</v>
      </c>
    </row>
    <row r="500" spans="1:15" x14ac:dyDescent="0.3">
      <c r="A500" t="s">
        <v>1533</v>
      </c>
      <c r="B500" s="1">
        <v>45119</v>
      </c>
      <c r="C500" t="s">
        <v>1534</v>
      </c>
      <c r="D500" t="s">
        <v>25</v>
      </c>
      <c r="E500">
        <v>2</v>
      </c>
      <c r="F500">
        <v>19732</v>
      </c>
      <c r="G500" s="9">
        <v>0.35</v>
      </c>
      <c r="H500" t="s">
        <v>50</v>
      </c>
      <c r="I500" t="s">
        <v>1535</v>
      </c>
      <c r="J500" s="13" t="s">
        <v>73</v>
      </c>
      <c r="K500">
        <v>8</v>
      </c>
      <c r="L500" t="s">
        <v>16</v>
      </c>
      <c r="M500">
        <f>Table1[[#This Row],[UnitPrice]]*Table1[[#This Row],[Quantity]]</f>
        <v>39464</v>
      </c>
      <c r="N500">
        <f>Table1[[#This Row],[Total Price]]*Table1[[#This Row],[Discount]]</f>
        <v>13812.4</v>
      </c>
      <c r="O500">
        <f>Table1[[#This Row],[Total Price]]-Table1[[#This Row],[Discount Amount]]</f>
        <v>25651.599999999999</v>
      </c>
    </row>
    <row r="501" spans="1:15" x14ac:dyDescent="0.3">
      <c r="A501" t="s">
        <v>1536</v>
      </c>
      <c r="B501" s="1">
        <v>45022</v>
      </c>
      <c r="C501" t="s">
        <v>1537</v>
      </c>
      <c r="D501" t="s">
        <v>36</v>
      </c>
      <c r="E501">
        <v>1</v>
      </c>
      <c r="F501">
        <v>6758</v>
      </c>
      <c r="G501" s="9">
        <v>0.22</v>
      </c>
      <c r="H501" t="s">
        <v>26</v>
      </c>
      <c r="I501" t="s">
        <v>1538</v>
      </c>
      <c r="J501" s="14" t="s">
        <v>14</v>
      </c>
      <c r="K501">
        <v>4</v>
      </c>
      <c r="L501" t="s">
        <v>33</v>
      </c>
      <c r="M501">
        <f>Table1[[#This Row],[UnitPrice]]*Table1[[#This Row],[Quantity]]</f>
        <v>6758</v>
      </c>
      <c r="N501">
        <f>Table1[[#This Row],[Total Price]]*Table1[[#This Row],[Discount]]</f>
        <v>1486.76</v>
      </c>
      <c r="O501">
        <f>Table1[[#This Row],[Total Price]]-Table1[[#This Row],[Discount Amount]]</f>
        <v>5271.24</v>
      </c>
    </row>
    <row r="502" spans="1:15" x14ac:dyDescent="0.3">
      <c r="A502" t="s">
        <v>1539</v>
      </c>
      <c r="B502" s="1">
        <v>45389</v>
      </c>
      <c r="C502" t="s">
        <v>1540</v>
      </c>
      <c r="D502" t="s">
        <v>44</v>
      </c>
      <c r="E502">
        <v>1</v>
      </c>
      <c r="F502">
        <v>45852</v>
      </c>
      <c r="G502" s="9">
        <v>0.22</v>
      </c>
      <c r="H502" t="s">
        <v>50</v>
      </c>
      <c r="I502" t="s">
        <v>1541</v>
      </c>
      <c r="J502" s="13" t="s">
        <v>37</v>
      </c>
      <c r="K502">
        <v>8</v>
      </c>
      <c r="L502" t="s">
        <v>33</v>
      </c>
      <c r="M502">
        <f>Table1[[#This Row],[UnitPrice]]*Table1[[#This Row],[Quantity]]</f>
        <v>45852</v>
      </c>
      <c r="N502">
        <f>Table1[[#This Row],[Total Price]]*Table1[[#This Row],[Discount]]</f>
        <v>10087.44</v>
      </c>
      <c r="O502">
        <f>Table1[[#This Row],[Total Price]]-Table1[[#This Row],[Discount Amount]]</f>
        <v>35764.559999999998</v>
      </c>
    </row>
    <row r="503" spans="1:15" x14ac:dyDescent="0.3">
      <c r="A503" t="s">
        <v>1542</v>
      </c>
      <c r="B503" s="1">
        <v>45326</v>
      </c>
      <c r="C503" t="s">
        <v>1543</v>
      </c>
      <c r="D503" t="s">
        <v>58</v>
      </c>
      <c r="E503">
        <v>3</v>
      </c>
      <c r="F503">
        <v>5688</v>
      </c>
      <c r="G503" s="9">
        <v>0.45</v>
      </c>
      <c r="H503" t="s">
        <v>26</v>
      </c>
      <c r="I503" t="s">
        <v>1544</v>
      </c>
      <c r="J503" s="14" t="s">
        <v>73</v>
      </c>
      <c r="K503">
        <v>7</v>
      </c>
      <c r="L503" t="s">
        <v>22</v>
      </c>
      <c r="M503">
        <f>Table1[[#This Row],[UnitPrice]]*Table1[[#This Row],[Quantity]]</f>
        <v>17064</v>
      </c>
      <c r="N503">
        <f>Table1[[#This Row],[Total Price]]*Table1[[#This Row],[Discount]]</f>
        <v>7678.8</v>
      </c>
      <c r="O503">
        <f>Table1[[#This Row],[Total Price]]-Table1[[#This Row],[Discount Amount]]</f>
        <v>9385.2000000000007</v>
      </c>
    </row>
    <row r="504" spans="1:15" x14ac:dyDescent="0.3">
      <c r="A504" t="s">
        <v>1545</v>
      </c>
      <c r="B504" s="1">
        <v>45066</v>
      </c>
      <c r="C504" t="s">
        <v>1546</v>
      </c>
      <c r="D504" t="s">
        <v>12</v>
      </c>
      <c r="E504">
        <v>1</v>
      </c>
      <c r="F504">
        <v>2461</v>
      </c>
      <c r="G504" s="9">
        <v>0.43</v>
      </c>
      <c r="H504" t="s">
        <v>13</v>
      </c>
      <c r="I504" t="s">
        <v>1547</v>
      </c>
      <c r="J504" s="13" t="s">
        <v>37</v>
      </c>
      <c r="K504">
        <v>7</v>
      </c>
      <c r="L504" t="s">
        <v>28</v>
      </c>
      <c r="M504">
        <f>Table1[[#This Row],[UnitPrice]]*Table1[[#This Row],[Quantity]]</f>
        <v>2461</v>
      </c>
      <c r="N504">
        <f>Table1[[#This Row],[Total Price]]*Table1[[#This Row],[Discount]]</f>
        <v>1058.23</v>
      </c>
      <c r="O504">
        <f>Table1[[#This Row],[Total Price]]-Table1[[#This Row],[Discount Amount]]</f>
        <v>1402.77</v>
      </c>
    </row>
    <row r="505" spans="1:15" x14ac:dyDescent="0.3">
      <c r="A505" t="s">
        <v>1548</v>
      </c>
      <c r="B505" s="1">
        <v>45169</v>
      </c>
      <c r="C505" t="s">
        <v>1549</v>
      </c>
      <c r="D505" t="s">
        <v>25</v>
      </c>
      <c r="E505">
        <v>2</v>
      </c>
      <c r="F505">
        <v>2374</v>
      </c>
      <c r="G505" s="9">
        <v>0.03</v>
      </c>
      <c r="H505" t="s">
        <v>20</v>
      </c>
      <c r="I505" t="s">
        <v>1550</v>
      </c>
      <c r="J505" s="14" t="s">
        <v>73</v>
      </c>
      <c r="K505">
        <v>4</v>
      </c>
      <c r="L505" t="s">
        <v>33</v>
      </c>
      <c r="M505">
        <f>Table1[[#This Row],[UnitPrice]]*Table1[[#This Row],[Quantity]]</f>
        <v>4748</v>
      </c>
      <c r="N505">
        <f>Table1[[#This Row],[Total Price]]*Table1[[#This Row],[Discount]]</f>
        <v>142.44</v>
      </c>
      <c r="O505">
        <f>Table1[[#This Row],[Total Price]]-Table1[[#This Row],[Discount Amount]]</f>
        <v>4605.5600000000004</v>
      </c>
    </row>
    <row r="506" spans="1:15" x14ac:dyDescent="0.3">
      <c r="A506" t="s">
        <v>1551</v>
      </c>
      <c r="B506" s="1">
        <v>45819</v>
      </c>
      <c r="C506" t="s">
        <v>1552</v>
      </c>
      <c r="D506" t="s">
        <v>12</v>
      </c>
      <c r="E506">
        <v>3</v>
      </c>
      <c r="F506">
        <v>6723</v>
      </c>
      <c r="G506" s="9">
        <v>0.31</v>
      </c>
      <c r="H506" t="s">
        <v>20</v>
      </c>
      <c r="I506" t="s">
        <v>1553</v>
      </c>
      <c r="J506" s="13" t="s">
        <v>14</v>
      </c>
      <c r="K506">
        <v>2</v>
      </c>
      <c r="L506" t="s">
        <v>16</v>
      </c>
      <c r="M506">
        <f>Table1[[#This Row],[UnitPrice]]*Table1[[#This Row],[Quantity]]</f>
        <v>20169</v>
      </c>
      <c r="N506">
        <f>Table1[[#This Row],[Total Price]]*Table1[[#This Row],[Discount]]</f>
        <v>6252.39</v>
      </c>
      <c r="O506">
        <f>Table1[[#This Row],[Total Price]]-Table1[[#This Row],[Discount Amount]]</f>
        <v>13916.61</v>
      </c>
    </row>
    <row r="507" spans="1:15" x14ac:dyDescent="0.3">
      <c r="A507" t="s">
        <v>1554</v>
      </c>
      <c r="B507" s="1">
        <v>45088</v>
      </c>
      <c r="C507" t="s">
        <v>1555</v>
      </c>
      <c r="D507" t="s">
        <v>36</v>
      </c>
      <c r="E507">
        <v>1</v>
      </c>
      <c r="F507">
        <v>9334</v>
      </c>
      <c r="G507" s="9">
        <v>0.22</v>
      </c>
      <c r="H507" t="s">
        <v>20</v>
      </c>
      <c r="I507" t="s">
        <v>1556</v>
      </c>
      <c r="J507" s="14" t="s">
        <v>14</v>
      </c>
      <c r="K507">
        <v>7</v>
      </c>
      <c r="L507" t="s">
        <v>28</v>
      </c>
      <c r="M507">
        <f>Table1[[#This Row],[UnitPrice]]*Table1[[#This Row],[Quantity]]</f>
        <v>9334</v>
      </c>
      <c r="N507">
        <f>Table1[[#This Row],[Total Price]]*Table1[[#This Row],[Discount]]</f>
        <v>2053.48</v>
      </c>
      <c r="O507">
        <f>Table1[[#This Row],[Total Price]]-Table1[[#This Row],[Discount Amount]]</f>
        <v>7280.52</v>
      </c>
    </row>
    <row r="508" spans="1:15" x14ac:dyDescent="0.3">
      <c r="A508" t="s">
        <v>1557</v>
      </c>
      <c r="B508" s="1">
        <v>45132</v>
      </c>
      <c r="C508" t="s">
        <v>1558</v>
      </c>
      <c r="D508" t="s">
        <v>12</v>
      </c>
      <c r="E508">
        <v>3</v>
      </c>
      <c r="F508">
        <v>8554</v>
      </c>
      <c r="G508" s="9">
        <v>0.06</v>
      </c>
      <c r="H508" t="s">
        <v>50</v>
      </c>
      <c r="I508" t="s">
        <v>1559</v>
      </c>
      <c r="J508" s="13" t="s">
        <v>73</v>
      </c>
      <c r="K508">
        <v>4</v>
      </c>
      <c r="L508" t="s">
        <v>16</v>
      </c>
      <c r="M508">
        <f>Table1[[#This Row],[UnitPrice]]*Table1[[#This Row],[Quantity]]</f>
        <v>25662</v>
      </c>
      <c r="N508">
        <f>Table1[[#This Row],[Total Price]]*Table1[[#This Row],[Discount]]</f>
        <v>1539.72</v>
      </c>
      <c r="O508">
        <f>Table1[[#This Row],[Total Price]]-Table1[[#This Row],[Discount Amount]]</f>
        <v>24122.28</v>
      </c>
    </row>
    <row r="509" spans="1:15" x14ac:dyDescent="0.3">
      <c r="A509" t="s">
        <v>1560</v>
      </c>
      <c r="B509" s="1">
        <v>45112</v>
      </c>
      <c r="C509" t="s">
        <v>1561</v>
      </c>
      <c r="D509" t="s">
        <v>19</v>
      </c>
      <c r="E509">
        <v>3</v>
      </c>
      <c r="F509">
        <v>17018</v>
      </c>
      <c r="G509" s="9">
        <v>0.43</v>
      </c>
      <c r="H509" t="s">
        <v>26</v>
      </c>
      <c r="I509" t="s">
        <v>1562</v>
      </c>
      <c r="J509" s="14" t="s">
        <v>73</v>
      </c>
      <c r="K509">
        <v>5</v>
      </c>
      <c r="L509" t="s">
        <v>28</v>
      </c>
      <c r="M509">
        <f>Table1[[#This Row],[UnitPrice]]*Table1[[#This Row],[Quantity]]</f>
        <v>51054</v>
      </c>
      <c r="N509">
        <f>Table1[[#This Row],[Total Price]]*Table1[[#This Row],[Discount]]</f>
        <v>21953.22</v>
      </c>
      <c r="O509">
        <f>Table1[[#This Row],[Total Price]]-Table1[[#This Row],[Discount Amount]]</f>
        <v>29100.78</v>
      </c>
    </row>
    <row r="510" spans="1:15" x14ac:dyDescent="0.3">
      <c r="A510" t="s">
        <v>1563</v>
      </c>
      <c r="B510" s="1">
        <v>45791</v>
      </c>
      <c r="C510" t="s">
        <v>1564</v>
      </c>
      <c r="D510" t="s">
        <v>19</v>
      </c>
      <c r="E510">
        <v>2</v>
      </c>
      <c r="F510">
        <v>22234</v>
      </c>
      <c r="G510" s="9">
        <v>0.04</v>
      </c>
      <c r="H510" t="s">
        <v>20</v>
      </c>
      <c r="I510" t="s">
        <v>1565</v>
      </c>
      <c r="J510" s="13" t="s">
        <v>37</v>
      </c>
      <c r="K510">
        <v>1</v>
      </c>
      <c r="L510" t="s">
        <v>22</v>
      </c>
      <c r="M510">
        <f>Table1[[#This Row],[UnitPrice]]*Table1[[#This Row],[Quantity]]</f>
        <v>44468</v>
      </c>
      <c r="N510">
        <f>Table1[[#This Row],[Total Price]]*Table1[[#This Row],[Discount]]</f>
        <v>1778.72</v>
      </c>
      <c r="O510">
        <f>Table1[[#This Row],[Total Price]]-Table1[[#This Row],[Discount Amount]]</f>
        <v>42689.279999999999</v>
      </c>
    </row>
    <row r="511" spans="1:15" x14ac:dyDescent="0.3">
      <c r="A511" t="s">
        <v>1566</v>
      </c>
      <c r="B511" s="1">
        <v>44972</v>
      </c>
      <c r="C511" t="s">
        <v>1567</v>
      </c>
      <c r="D511" t="s">
        <v>44</v>
      </c>
      <c r="E511">
        <v>3</v>
      </c>
      <c r="F511">
        <v>61878</v>
      </c>
      <c r="G511" s="9">
        <v>0.02</v>
      </c>
      <c r="H511" t="s">
        <v>50</v>
      </c>
      <c r="I511" t="s">
        <v>1568</v>
      </c>
      <c r="J511" s="14" t="s">
        <v>37</v>
      </c>
      <c r="K511">
        <v>2</v>
      </c>
      <c r="L511" t="s">
        <v>60</v>
      </c>
      <c r="M511">
        <f>Table1[[#This Row],[UnitPrice]]*Table1[[#This Row],[Quantity]]</f>
        <v>185634</v>
      </c>
      <c r="N511">
        <f>Table1[[#This Row],[Total Price]]*Table1[[#This Row],[Discount]]</f>
        <v>3712.6800000000003</v>
      </c>
      <c r="O511">
        <f>Table1[[#This Row],[Total Price]]-Table1[[#This Row],[Discount Amount]]</f>
        <v>181921.32</v>
      </c>
    </row>
    <row r="512" spans="1:15" x14ac:dyDescent="0.3">
      <c r="A512" t="s">
        <v>1569</v>
      </c>
      <c r="B512" s="1">
        <v>45642</v>
      </c>
      <c r="C512" t="s">
        <v>1570</v>
      </c>
      <c r="D512" t="s">
        <v>36</v>
      </c>
      <c r="E512">
        <v>3</v>
      </c>
      <c r="F512">
        <v>7380</v>
      </c>
      <c r="G512" s="9">
        <v>0.1</v>
      </c>
      <c r="H512" t="s">
        <v>13</v>
      </c>
      <c r="I512" t="s">
        <v>1571</v>
      </c>
      <c r="J512" s="13" t="s">
        <v>37</v>
      </c>
      <c r="K512">
        <v>5</v>
      </c>
      <c r="L512" t="s">
        <v>28</v>
      </c>
      <c r="M512">
        <f>Table1[[#This Row],[UnitPrice]]*Table1[[#This Row],[Quantity]]</f>
        <v>22140</v>
      </c>
      <c r="N512">
        <f>Table1[[#This Row],[Total Price]]*Table1[[#This Row],[Discount]]</f>
        <v>2214</v>
      </c>
      <c r="O512">
        <f>Table1[[#This Row],[Total Price]]-Table1[[#This Row],[Discount Amount]]</f>
        <v>19926</v>
      </c>
    </row>
    <row r="513" spans="1:15" x14ac:dyDescent="0.3">
      <c r="A513" t="s">
        <v>1572</v>
      </c>
      <c r="B513" s="1">
        <v>45366</v>
      </c>
      <c r="C513" t="s">
        <v>1573</v>
      </c>
      <c r="D513" t="s">
        <v>12</v>
      </c>
      <c r="E513">
        <v>1</v>
      </c>
      <c r="F513">
        <v>3120</v>
      </c>
      <c r="G513" s="9">
        <v>0.15</v>
      </c>
      <c r="H513" t="s">
        <v>50</v>
      </c>
      <c r="I513" t="s">
        <v>1574</v>
      </c>
      <c r="J513" s="14" t="s">
        <v>37</v>
      </c>
      <c r="K513">
        <v>7</v>
      </c>
      <c r="L513" t="s">
        <v>28</v>
      </c>
      <c r="M513">
        <f>Table1[[#This Row],[UnitPrice]]*Table1[[#This Row],[Quantity]]</f>
        <v>3120</v>
      </c>
      <c r="N513">
        <f>Table1[[#This Row],[Total Price]]*Table1[[#This Row],[Discount]]</f>
        <v>468</v>
      </c>
      <c r="O513">
        <f>Table1[[#This Row],[Total Price]]-Table1[[#This Row],[Discount Amount]]</f>
        <v>2652</v>
      </c>
    </row>
    <row r="514" spans="1:15" x14ac:dyDescent="0.3">
      <c r="A514" t="s">
        <v>1575</v>
      </c>
      <c r="B514" s="1">
        <v>45562</v>
      </c>
      <c r="C514" t="s">
        <v>1576</v>
      </c>
      <c r="D514" t="s">
        <v>58</v>
      </c>
      <c r="E514">
        <v>1</v>
      </c>
      <c r="F514">
        <v>2765</v>
      </c>
      <c r="G514" s="9">
        <v>0.03</v>
      </c>
      <c r="H514" t="s">
        <v>20</v>
      </c>
      <c r="I514" t="s">
        <v>1577</v>
      </c>
      <c r="J514" s="13" t="s">
        <v>73</v>
      </c>
      <c r="K514">
        <v>3</v>
      </c>
      <c r="L514" t="s">
        <v>16</v>
      </c>
      <c r="M514">
        <f>Table1[[#This Row],[UnitPrice]]*Table1[[#This Row],[Quantity]]</f>
        <v>2765</v>
      </c>
      <c r="N514">
        <f>Table1[[#This Row],[Total Price]]*Table1[[#This Row],[Discount]]</f>
        <v>82.95</v>
      </c>
      <c r="O514">
        <f>Table1[[#This Row],[Total Price]]-Table1[[#This Row],[Discount Amount]]</f>
        <v>2682.05</v>
      </c>
    </row>
    <row r="515" spans="1:15" x14ac:dyDescent="0.3">
      <c r="A515" t="s">
        <v>1578</v>
      </c>
      <c r="B515" s="1">
        <v>45697</v>
      </c>
      <c r="C515" t="s">
        <v>1579</v>
      </c>
      <c r="D515" t="s">
        <v>25</v>
      </c>
      <c r="E515">
        <v>3</v>
      </c>
      <c r="F515">
        <v>17896</v>
      </c>
      <c r="G515" s="9">
        <v>0.32</v>
      </c>
      <c r="H515" t="s">
        <v>45</v>
      </c>
      <c r="I515" t="s">
        <v>1580</v>
      </c>
      <c r="J515" s="14" t="s">
        <v>14</v>
      </c>
      <c r="K515">
        <v>8</v>
      </c>
      <c r="L515" t="s">
        <v>22</v>
      </c>
      <c r="M515">
        <f>Table1[[#This Row],[UnitPrice]]*Table1[[#This Row],[Quantity]]</f>
        <v>53688</v>
      </c>
      <c r="N515">
        <f>Table1[[#This Row],[Total Price]]*Table1[[#This Row],[Discount]]</f>
        <v>17180.16</v>
      </c>
      <c r="O515">
        <f>Table1[[#This Row],[Total Price]]-Table1[[#This Row],[Discount Amount]]</f>
        <v>36507.839999999997</v>
      </c>
    </row>
    <row r="516" spans="1:15" x14ac:dyDescent="0.3">
      <c r="A516" t="s">
        <v>1581</v>
      </c>
      <c r="B516" s="1">
        <v>45032</v>
      </c>
      <c r="C516" t="s">
        <v>1582</v>
      </c>
      <c r="D516" t="s">
        <v>36</v>
      </c>
      <c r="E516">
        <v>1</v>
      </c>
      <c r="F516">
        <v>5736</v>
      </c>
      <c r="G516" s="9">
        <v>0.22</v>
      </c>
      <c r="H516" t="s">
        <v>45</v>
      </c>
      <c r="I516" t="s">
        <v>1583</v>
      </c>
      <c r="J516" s="13" t="s">
        <v>14</v>
      </c>
      <c r="K516">
        <v>3</v>
      </c>
      <c r="L516" t="s">
        <v>16</v>
      </c>
      <c r="M516">
        <f>Table1[[#This Row],[UnitPrice]]*Table1[[#This Row],[Quantity]]</f>
        <v>5736</v>
      </c>
      <c r="N516">
        <f>Table1[[#This Row],[Total Price]]*Table1[[#This Row],[Discount]]</f>
        <v>1261.92</v>
      </c>
      <c r="O516">
        <f>Table1[[#This Row],[Total Price]]-Table1[[#This Row],[Discount Amount]]</f>
        <v>4474.08</v>
      </c>
    </row>
    <row r="517" spans="1:15" x14ac:dyDescent="0.3">
      <c r="A517" t="s">
        <v>1584</v>
      </c>
      <c r="B517" s="1">
        <v>44999</v>
      </c>
      <c r="C517" t="s">
        <v>1585</v>
      </c>
      <c r="D517" t="s">
        <v>19</v>
      </c>
      <c r="E517">
        <v>1</v>
      </c>
      <c r="F517">
        <v>33363</v>
      </c>
      <c r="G517" s="9">
        <v>0.21</v>
      </c>
      <c r="H517" t="s">
        <v>45</v>
      </c>
      <c r="I517" t="s">
        <v>1586</v>
      </c>
      <c r="J517" s="14" t="s">
        <v>14</v>
      </c>
      <c r="K517">
        <v>4</v>
      </c>
      <c r="L517" t="s">
        <v>33</v>
      </c>
      <c r="M517">
        <f>Table1[[#This Row],[UnitPrice]]*Table1[[#This Row],[Quantity]]</f>
        <v>33363</v>
      </c>
      <c r="N517">
        <f>Table1[[#This Row],[Total Price]]*Table1[[#This Row],[Discount]]</f>
        <v>7006.23</v>
      </c>
      <c r="O517">
        <f>Table1[[#This Row],[Total Price]]-Table1[[#This Row],[Discount Amount]]</f>
        <v>26356.77</v>
      </c>
    </row>
    <row r="518" spans="1:15" x14ac:dyDescent="0.3">
      <c r="A518" t="s">
        <v>1587</v>
      </c>
      <c r="B518" s="1">
        <v>45389</v>
      </c>
      <c r="C518" t="s">
        <v>1588</v>
      </c>
      <c r="D518" t="s">
        <v>12</v>
      </c>
      <c r="E518">
        <v>2</v>
      </c>
      <c r="F518">
        <v>1621</v>
      </c>
      <c r="G518" s="9">
        <v>7.0000000000000007E-2</v>
      </c>
      <c r="H518" t="s">
        <v>50</v>
      </c>
      <c r="I518" t="s">
        <v>1589</v>
      </c>
      <c r="J518" s="13" t="s">
        <v>37</v>
      </c>
      <c r="K518">
        <v>8</v>
      </c>
      <c r="L518" t="s">
        <v>33</v>
      </c>
      <c r="M518">
        <f>Table1[[#This Row],[UnitPrice]]*Table1[[#This Row],[Quantity]]</f>
        <v>3242</v>
      </c>
      <c r="N518">
        <f>Table1[[#This Row],[Total Price]]*Table1[[#This Row],[Discount]]</f>
        <v>226.94000000000003</v>
      </c>
      <c r="O518">
        <f>Table1[[#This Row],[Total Price]]-Table1[[#This Row],[Discount Amount]]</f>
        <v>3015.06</v>
      </c>
    </row>
    <row r="519" spans="1:15" x14ac:dyDescent="0.3">
      <c r="A519" t="s">
        <v>1590</v>
      </c>
      <c r="B519" s="1">
        <v>45391</v>
      </c>
      <c r="C519" t="s">
        <v>1591</v>
      </c>
      <c r="D519" t="s">
        <v>25</v>
      </c>
      <c r="E519">
        <v>3</v>
      </c>
      <c r="F519">
        <v>9059</v>
      </c>
      <c r="G519" s="9">
        <v>0.22</v>
      </c>
      <c r="H519" t="s">
        <v>50</v>
      </c>
      <c r="I519" t="s">
        <v>1592</v>
      </c>
      <c r="J519" s="14" t="s">
        <v>73</v>
      </c>
      <c r="K519">
        <v>7</v>
      </c>
      <c r="L519" t="s">
        <v>60</v>
      </c>
      <c r="M519">
        <f>Table1[[#This Row],[UnitPrice]]*Table1[[#This Row],[Quantity]]</f>
        <v>27177</v>
      </c>
      <c r="N519">
        <f>Table1[[#This Row],[Total Price]]*Table1[[#This Row],[Discount]]</f>
        <v>5978.94</v>
      </c>
      <c r="O519">
        <f>Table1[[#This Row],[Total Price]]-Table1[[#This Row],[Discount Amount]]</f>
        <v>21198.06</v>
      </c>
    </row>
    <row r="520" spans="1:15" x14ac:dyDescent="0.3">
      <c r="A520" t="s">
        <v>1593</v>
      </c>
      <c r="B520" s="1">
        <v>45821</v>
      </c>
      <c r="C520" t="s">
        <v>1594</v>
      </c>
      <c r="D520" t="s">
        <v>36</v>
      </c>
      <c r="E520">
        <v>3</v>
      </c>
      <c r="F520">
        <v>7181</v>
      </c>
      <c r="G520" s="9">
        <v>0.2</v>
      </c>
      <c r="H520" t="s">
        <v>20</v>
      </c>
      <c r="I520" t="s">
        <v>1595</v>
      </c>
      <c r="J520" s="13" t="s">
        <v>73</v>
      </c>
      <c r="K520">
        <v>9</v>
      </c>
      <c r="L520" t="s">
        <v>22</v>
      </c>
      <c r="M520">
        <f>Table1[[#This Row],[UnitPrice]]*Table1[[#This Row],[Quantity]]</f>
        <v>21543</v>
      </c>
      <c r="N520">
        <f>Table1[[#This Row],[Total Price]]*Table1[[#This Row],[Discount]]</f>
        <v>4308.6000000000004</v>
      </c>
      <c r="O520">
        <f>Table1[[#This Row],[Total Price]]-Table1[[#This Row],[Discount Amount]]</f>
        <v>17234.400000000001</v>
      </c>
    </row>
    <row r="521" spans="1:15" x14ac:dyDescent="0.3">
      <c r="A521" t="s">
        <v>1596</v>
      </c>
      <c r="B521" s="1">
        <v>45787</v>
      </c>
      <c r="C521" t="s">
        <v>1597</v>
      </c>
      <c r="D521" t="s">
        <v>44</v>
      </c>
      <c r="E521">
        <v>3</v>
      </c>
      <c r="F521">
        <v>50997</v>
      </c>
      <c r="G521" s="9">
        <v>0.19</v>
      </c>
      <c r="H521" t="s">
        <v>13</v>
      </c>
      <c r="I521" t="s">
        <v>1598</v>
      </c>
      <c r="J521" s="14" t="s">
        <v>14</v>
      </c>
      <c r="K521">
        <v>5</v>
      </c>
      <c r="L521" t="s">
        <v>28</v>
      </c>
      <c r="M521">
        <f>Table1[[#This Row],[UnitPrice]]*Table1[[#This Row],[Quantity]]</f>
        <v>152991</v>
      </c>
      <c r="N521">
        <f>Table1[[#This Row],[Total Price]]*Table1[[#This Row],[Discount]]</f>
        <v>29068.29</v>
      </c>
      <c r="O521">
        <f>Table1[[#This Row],[Total Price]]-Table1[[#This Row],[Discount Amount]]</f>
        <v>123922.70999999999</v>
      </c>
    </row>
    <row r="522" spans="1:15" x14ac:dyDescent="0.3">
      <c r="A522" t="s">
        <v>1599</v>
      </c>
      <c r="B522" s="1">
        <v>44995</v>
      </c>
      <c r="C522" t="s">
        <v>1600</v>
      </c>
      <c r="D522" t="s">
        <v>12</v>
      </c>
      <c r="E522">
        <v>1</v>
      </c>
      <c r="F522">
        <v>7824</v>
      </c>
      <c r="G522" s="9">
        <v>0.11</v>
      </c>
      <c r="H522" t="s">
        <v>50</v>
      </c>
      <c r="I522" t="s">
        <v>1601</v>
      </c>
      <c r="J522" s="13" t="s">
        <v>14</v>
      </c>
      <c r="K522">
        <v>5</v>
      </c>
      <c r="L522" t="s">
        <v>22</v>
      </c>
      <c r="M522">
        <f>Table1[[#This Row],[UnitPrice]]*Table1[[#This Row],[Quantity]]</f>
        <v>7824</v>
      </c>
      <c r="N522">
        <f>Table1[[#This Row],[Total Price]]*Table1[[#This Row],[Discount]]</f>
        <v>860.64</v>
      </c>
      <c r="O522">
        <f>Table1[[#This Row],[Total Price]]-Table1[[#This Row],[Discount Amount]]</f>
        <v>6963.36</v>
      </c>
    </row>
    <row r="523" spans="1:15" x14ac:dyDescent="0.3">
      <c r="A523" t="s">
        <v>1602</v>
      </c>
      <c r="B523" s="1">
        <v>45347</v>
      </c>
      <c r="C523" t="s">
        <v>1603</v>
      </c>
      <c r="D523" t="s">
        <v>19</v>
      </c>
      <c r="E523">
        <v>2</v>
      </c>
      <c r="F523">
        <v>29891</v>
      </c>
      <c r="G523" s="9">
        <v>0.05</v>
      </c>
      <c r="H523" t="s">
        <v>26</v>
      </c>
      <c r="I523" t="s">
        <v>1604</v>
      </c>
      <c r="J523" s="14" t="s">
        <v>14</v>
      </c>
      <c r="K523">
        <v>2</v>
      </c>
      <c r="L523" t="s">
        <v>33</v>
      </c>
      <c r="M523">
        <f>Table1[[#This Row],[UnitPrice]]*Table1[[#This Row],[Quantity]]</f>
        <v>59782</v>
      </c>
      <c r="N523">
        <f>Table1[[#This Row],[Total Price]]*Table1[[#This Row],[Discount]]</f>
        <v>2989.1000000000004</v>
      </c>
      <c r="O523">
        <f>Table1[[#This Row],[Total Price]]-Table1[[#This Row],[Discount Amount]]</f>
        <v>56792.9</v>
      </c>
    </row>
    <row r="524" spans="1:15" x14ac:dyDescent="0.3">
      <c r="A524" t="s">
        <v>1605</v>
      </c>
      <c r="B524" s="1">
        <v>45402</v>
      </c>
      <c r="C524" t="s">
        <v>1606</v>
      </c>
      <c r="D524" t="s">
        <v>31</v>
      </c>
      <c r="E524">
        <v>3</v>
      </c>
      <c r="F524">
        <v>32189</v>
      </c>
      <c r="G524" s="9">
        <v>0.13</v>
      </c>
      <c r="H524" t="s">
        <v>45</v>
      </c>
      <c r="I524" t="s">
        <v>1607</v>
      </c>
      <c r="J524" s="13" t="s">
        <v>14</v>
      </c>
      <c r="K524">
        <v>1</v>
      </c>
      <c r="L524" t="s">
        <v>28</v>
      </c>
      <c r="M524">
        <f>Table1[[#This Row],[UnitPrice]]*Table1[[#This Row],[Quantity]]</f>
        <v>96567</v>
      </c>
      <c r="N524">
        <f>Table1[[#This Row],[Total Price]]*Table1[[#This Row],[Discount]]</f>
        <v>12553.710000000001</v>
      </c>
      <c r="O524">
        <f>Table1[[#This Row],[Total Price]]-Table1[[#This Row],[Discount Amount]]</f>
        <v>84013.29</v>
      </c>
    </row>
    <row r="525" spans="1:15" x14ac:dyDescent="0.3">
      <c r="A525" t="s">
        <v>1608</v>
      </c>
      <c r="B525" s="1">
        <v>45706</v>
      </c>
      <c r="C525" t="s">
        <v>1609</v>
      </c>
      <c r="D525" t="s">
        <v>58</v>
      </c>
      <c r="E525">
        <v>1</v>
      </c>
      <c r="F525">
        <v>5832</v>
      </c>
      <c r="G525" s="9">
        <v>0.33</v>
      </c>
      <c r="H525" t="s">
        <v>26</v>
      </c>
      <c r="I525" t="s">
        <v>1610</v>
      </c>
      <c r="J525" s="14" t="s">
        <v>14</v>
      </c>
      <c r="K525">
        <v>6</v>
      </c>
      <c r="L525" t="s">
        <v>60</v>
      </c>
      <c r="M525">
        <f>Table1[[#This Row],[UnitPrice]]*Table1[[#This Row],[Quantity]]</f>
        <v>5832</v>
      </c>
      <c r="N525">
        <f>Table1[[#This Row],[Total Price]]*Table1[[#This Row],[Discount]]</f>
        <v>1924.5600000000002</v>
      </c>
      <c r="O525">
        <f>Table1[[#This Row],[Total Price]]-Table1[[#This Row],[Discount Amount]]</f>
        <v>3907.4399999999996</v>
      </c>
    </row>
    <row r="526" spans="1:15" x14ac:dyDescent="0.3">
      <c r="A526" t="s">
        <v>1611</v>
      </c>
      <c r="B526" s="1">
        <v>45224</v>
      </c>
      <c r="C526" t="s">
        <v>1612</v>
      </c>
      <c r="D526" t="s">
        <v>19</v>
      </c>
      <c r="E526">
        <v>1</v>
      </c>
      <c r="F526">
        <v>40883</v>
      </c>
      <c r="G526" s="9">
        <v>0.04</v>
      </c>
      <c r="H526" t="s">
        <v>26</v>
      </c>
      <c r="I526" t="s">
        <v>1613</v>
      </c>
      <c r="J526" s="13" t="s">
        <v>73</v>
      </c>
      <c r="K526">
        <v>4</v>
      </c>
      <c r="L526" t="s">
        <v>22</v>
      </c>
      <c r="M526">
        <f>Table1[[#This Row],[UnitPrice]]*Table1[[#This Row],[Quantity]]</f>
        <v>40883</v>
      </c>
      <c r="N526">
        <f>Table1[[#This Row],[Total Price]]*Table1[[#This Row],[Discount]]</f>
        <v>1635.32</v>
      </c>
      <c r="O526">
        <f>Table1[[#This Row],[Total Price]]-Table1[[#This Row],[Discount Amount]]</f>
        <v>39247.68</v>
      </c>
    </row>
    <row r="527" spans="1:15" x14ac:dyDescent="0.3">
      <c r="A527" t="s">
        <v>1614</v>
      </c>
      <c r="B527" s="1">
        <v>45263</v>
      </c>
      <c r="C527" t="s">
        <v>1615</v>
      </c>
      <c r="D527" t="s">
        <v>12</v>
      </c>
      <c r="E527">
        <v>3</v>
      </c>
      <c r="F527">
        <v>5624</v>
      </c>
      <c r="G527" s="9">
        <v>0.19</v>
      </c>
      <c r="H527" t="s">
        <v>13</v>
      </c>
      <c r="I527" t="s">
        <v>1616</v>
      </c>
      <c r="J527" s="14" t="s">
        <v>14</v>
      </c>
      <c r="K527">
        <v>1</v>
      </c>
      <c r="L527" t="s">
        <v>28</v>
      </c>
      <c r="M527">
        <f>Table1[[#This Row],[UnitPrice]]*Table1[[#This Row],[Quantity]]</f>
        <v>16872</v>
      </c>
      <c r="N527">
        <f>Table1[[#This Row],[Total Price]]*Table1[[#This Row],[Discount]]</f>
        <v>3205.68</v>
      </c>
      <c r="O527">
        <f>Table1[[#This Row],[Total Price]]-Table1[[#This Row],[Discount Amount]]</f>
        <v>13666.32</v>
      </c>
    </row>
    <row r="528" spans="1:15" x14ac:dyDescent="0.3">
      <c r="A528" t="s">
        <v>1617</v>
      </c>
      <c r="B528" s="1">
        <v>45351</v>
      </c>
      <c r="C528" t="s">
        <v>1618</v>
      </c>
      <c r="D528" t="s">
        <v>58</v>
      </c>
      <c r="E528">
        <v>3</v>
      </c>
      <c r="F528">
        <v>1527</v>
      </c>
      <c r="G528" s="9">
        <v>0.26</v>
      </c>
      <c r="H528" t="s">
        <v>50</v>
      </c>
      <c r="I528" t="s">
        <v>1619</v>
      </c>
      <c r="J528" s="13" t="s">
        <v>14</v>
      </c>
      <c r="K528">
        <v>7</v>
      </c>
      <c r="L528" t="s">
        <v>60</v>
      </c>
      <c r="M528">
        <f>Table1[[#This Row],[UnitPrice]]*Table1[[#This Row],[Quantity]]</f>
        <v>4581</v>
      </c>
      <c r="N528">
        <f>Table1[[#This Row],[Total Price]]*Table1[[#This Row],[Discount]]</f>
        <v>1191.06</v>
      </c>
      <c r="O528">
        <f>Table1[[#This Row],[Total Price]]-Table1[[#This Row],[Discount Amount]]</f>
        <v>3389.94</v>
      </c>
    </row>
    <row r="529" spans="1:15" x14ac:dyDescent="0.3">
      <c r="A529" t="s">
        <v>1620</v>
      </c>
      <c r="B529" s="1">
        <v>45523</v>
      </c>
      <c r="C529" t="s">
        <v>1621</v>
      </c>
      <c r="D529" t="s">
        <v>31</v>
      </c>
      <c r="E529">
        <v>2</v>
      </c>
      <c r="F529">
        <v>30989</v>
      </c>
      <c r="G529" s="9">
        <v>0.48</v>
      </c>
      <c r="H529" t="s">
        <v>26</v>
      </c>
      <c r="I529" t="s">
        <v>1622</v>
      </c>
      <c r="J529" s="14" t="s">
        <v>14</v>
      </c>
      <c r="K529">
        <v>10</v>
      </c>
      <c r="L529" t="s">
        <v>22</v>
      </c>
      <c r="M529">
        <f>Table1[[#This Row],[UnitPrice]]*Table1[[#This Row],[Quantity]]</f>
        <v>61978</v>
      </c>
      <c r="N529">
        <f>Table1[[#This Row],[Total Price]]*Table1[[#This Row],[Discount]]</f>
        <v>29749.439999999999</v>
      </c>
      <c r="O529">
        <f>Table1[[#This Row],[Total Price]]-Table1[[#This Row],[Discount Amount]]</f>
        <v>32228.560000000001</v>
      </c>
    </row>
    <row r="530" spans="1:15" x14ac:dyDescent="0.3">
      <c r="A530" t="s">
        <v>1623</v>
      </c>
      <c r="B530" s="1">
        <v>45714</v>
      </c>
      <c r="C530" t="s">
        <v>1624</v>
      </c>
      <c r="D530" t="s">
        <v>31</v>
      </c>
      <c r="E530">
        <v>2</v>
      </c>
      <c r="F530">
        <v>38758</v>
      </c>
      <c r="G530" s="9">
        <v>0.42</v>
      </c>
      <c r="H530" t="s">
        <v>26</v>
      </c>
      <c r="I530" t="s">
        <v>1625</v>
      </c>
      <c r="J530" s="13" t="s">
        <v>14</v>
      </c>
      <c r="K530">
        <v>2</v>
      </c>
      <c r="L530" t="s">
        <v>22</v>
      </c>
      <c r="M530">
        <f>Table1[[#This Row],[UnitPrice]]*Table1[[#This Row],[Quantity]]</f>
        <v>77516</v>
      </c>
      <c r="N530">
        <f>Table1[[#This Row],[Total Price]]*Table1[[#This Row],[Discount]]</f>
        <v>32556.719999999998</v>
      </c>
      <c r="O530">
        <f>Table1[[#This Row],[Total Price]]-Table1[[#This Row],[Discount Amount]]</f>
        <v>44959.28</v>
      </c>
    </row>
    <row r="531" spans="1:15" x14ac:dyDescent="0.3">
      <c r="A531" t="s">
        <v>1626</v>
      </c>
      <c r="B531" s="1">
        <v>45389</v>
      </c>
      <c r="C531" t="s">
        <v>1627</v>
      </c>
      <c r="D531" t="s">
        <v>25</v>
      </c>
      <c r="E531">
        <v>1</v>
      </c>
      <c r="F531">
        <v>4947</v>
      </c>
      <c r="G531" s="9">
        <v>0.46</v>
      </c>
      <c r="H531" t="s">
        <v>50</v>
      </c>
      <c r="I531" t="s">
        <v>1628</v>
      </c>
      <c r="J531" s="14" t="s">
        <v>73</v>
      </c>
      <c r="K531">
        <v>4</v>
      </c>
      <c r="L531" t="s">
        <v>60</v>
      </c>
      <c r="M531">
        <f>Table1[[#This Row],[UnitPrice]]*Table1[[#This Row],[Quantity]]</f>
        <v>4947</v>
      </c>
      <c r="N531">
        <f>Table1[[#This Row],[Total Price]]*Table1[[#This Row],[Discount]]</f>
        <v>2275.62</v>
      </c>
      <c r="O531">
        <f>Table1[[#This Row],[Total Price]]-Table1[[#This Row],[Discount Amount]]</f>
        <v>2671.38</v>
      </c>
    </row>
    <row r="532" spans="1:15" x14ac:dyDescent="0.3">
      <c r="A532" t="s">
        <v>1629</v>
      </c>
      <c r="B532" s="1">
        <v>45491</v>
      </c>
      <c r="C532" t="s">
        <v>1630</v>
      </c>
      <c r="D532" t="s">
        <v>31</v>
      </c>
      <c r="E532">
        <v>1</v>
      </c>
      <c r="F532">
        <v>32966</v>
      </c>
      <c r="G532" s="9">
        <v>0.41</v>
      </c>
      <c r="H532" t="s">
        <v>20</v>
      </c>
      <c r="I532" t="s">
        <v>1631</v>
      </c>
      <c r="J532" s="13" t="s">
        <v>73</v>
      </c>
      <c r="K532">
        <v>9</v>
      </c>
      <c r="L532" t="s">
        <v>60</v>
      </c>
      <c r="M532">
        <f>Table1[[#This Row],[UnitPrice]]*Table1[[#This Row],[Quantity]]</f>
        <v>32966</v>
      </c>
      <c r="N532">
        <f>Table1[[#This Row],[Total Price]]*Table1[[#This Row],[Discount]]</f>
        <v>13516.06</v>
      </c>
      <c r="O532">
        <f>Table1[[#This Row],[Total Price]]-Table1[[#This Row],[Discount Amount]]</f>
        <v>19449.940000000002</v>
      </c>
    </row>
    <row r="533" spans="1:15" x14ac:dyDescent="0.3">
      <c r="A533" t="s">
        <v>1632</v>
      </c>
      <c r="B533" s="1">
        <v>45475</v>
      </c>
      <c r="C533" t="s">
        <v>1633</v>
      </c>
      <c r="D533" t="s">
        <v>58</v>
      </c>
      <c r="E533">
        <v>1</v>
      </c>
      <c r="F533">
        <v>6708</v>
      </c>
      <c r="G533" s="9">
        <v>0.28999999999999998</v>
      </c>
      <c r="H533" t="s">
        <v>45</v>
      </c>
      <c r="I533" t="s">
        <v>1634</v>
      </c>
      <c r="J533" s="14" t="s">
        <v>37</v>
      </c>
      <c r="K533">
        <v>6</v>
      </c>
      <c r="L533" t="s">
        <v>22</v>
      </c>
      <c r="M533">
        <f>Table1[[#This Row],[UnitPrice]]*Table1[[#This Row],[Quantity]]</f>
        <v>6708</v>
      </c>
      <c r="N533">
        <f>Table1[[#This Row],[Total Price]]*Table1[[#This Row],[Discount]]</f>
        <v>1945.32</v>
      </c>
      <c r="O533">
        <f>Table1[[#This Row],[Total Price]]-Table1[[#This Row],[Discount Amount]]</f>
        <v>4762.68</v>
      </c>
    </row>
    <row r="534" spans="1:15" x14ac:dyDescent="0.3">
      <c r="A534" t="s">
        <v>1635</v>
      </c>
      <c r="B534" s="1">
        <v>45780</v>
      </c>
      <c r="C534" t="s">
        <v>1636</v>
      </c>
      <c r="D534" t="s">
        <v>44</v>
      </c>
      <c r="E534">
        <v>2</v>
      </c>
      <c r="F534">
        <v>28670</v>
      </c>
      <c r="G534" s="9">
        <v>0.43</v>
      </c>
      <c r="H534" t="s">
        <v>20</v>
      </c>
      <c r="I534" t="s">
        <v>1637</v>
      </c>
      <c r="J534" s="13" t="s">
        <v>37</v>
      </c>
      <c r="K534">
        <v>7</v>
      </c>
      <c r="L534" t="s">
        <v>28</v>
      </c>
      <c r="M534">
        <f>Table1[[#This Row],[UnitPrice]]*Table1[[#This Row],[Quantity]]</f>
        <v>57340</v>
      </c>
      <c r="N534">
        <f>Table1[[#This Row],[Total Price]]*Table1[[#This Row],[Discount]]</f>
        <v>24656.2</v>
      </c>
      <c r="O534">
        <f>Table1[[#This Row],[Total Price]]-Table1[[#This Row],[Discount Amount]]</f>
        <v>32683.8</v>
      </c>
    </row>
    <row r="535" spans="1:15" x14ac:dyDescent="0.3">
      <c r="A535" t="s">
        <v>1638</v>
      </c>
      <c r="B535" s="1">
        <v>44990</v>
      </c>
      <c r="C535" t="s">
        <v>1639</v>
      </c>
      <c r="D535" t="s">
        <v>58</v>
      </c>
      <c r="E535">
        <v>3</v>
      </c>
      <c r="F535">
        <v>2153</v>
      </c>
      <c r="G535" s="9">
        <v>0.28000000000000003</v>
      </c>
      <c r="H535" t="s">
        <v>45</v>
      </c>
      <c r="I535" t="s">
        <v>1640</v>
      </c>
      <c r="J535" s="14" t="s">
        <v>14</v>
      </c>
      <c r="K535">
        <v>1</v>
      </c>
      <c r="L535" t="s">
        <v>33</v>
      </c>
      <c r="M535">
        <f>Table1[[#This Row],[UnitPrice]]*Table1[[#This Row],[Quantity]]</f>
        <v>6459</v>
      </c>
      <c r="N535">
        <f>Table1[[#This Row],[Total Price]]*Table1[[#This Row],[Discount]]</f>
        <v>1808.5200000000002</v>
      </c>
      <c r="O535">
        <f>Table1[[#This Row],[Total Price]]-Table1[[#This Row],[Discount Amount]]</f>
        <v>4650.4799999999996</v>
      </c>
    </row>
    <row r="536" spans="1:15" x14ac:dyDescent="0.3">
      <c r="A536" t="s">
        <v>1641</v>
      </c>
      <c r="B536" s="1">
        <v>45449</v>
      </c>
      <c r="C536" t="s">
        <v>1642</v>
      </c>
      <c r="D536" t="s">
        <v>31</v>
      </c>
      <c r="E536">
        <v>2</v>
      </c>
      <c r="F536">
        <v>18047</v>
      </c>
      <c r="G536" s="9">
        <v>0.18</v>
      </c>
      <c r="H536" t="s">
        <v>13</v>
      </c>
      <c r="I536" t="s">
        <v>1643</v>
      </c>
      <c r="J536" s="13" t="s">
        <v>73</v>
      </c>
      <c r="K536">
        <v>4</v>
      </c>
      <c r="L536" t="s">
        <v>28</v>
      </c>
      <c r="M536">
        <f>Table1[[#This Row],[UnitPrice]]*Table1[[#This Row],[Quantity]]</f>
        <v>36094</v>
      </c>
      <c r="N536">
        <f>Table1[[#This Row],[Total Price]]*Table1[[#This Row],[Discount]]</f>
        <v>6496.92</v>
      </c>
      <c r="O536">
        <f>Table1[[#This Row],[Total Price]]-Table1[[#This Row],[Discount Amount]]</f>
        <v>29597.08</v>
      </c>
    </row>
    <row r="537" spans="1:15" x14ac:dyDescent="0.3">
      <c r="A537" t="s">
        <v>1644</v>
      </c>
      <c r="B537" s="1">
        <v>45497</v>
      </c>
      <c r="C537" t="s">
        <v>1645</v>
      </c>
      <c r="D537" t="s">
        <v>12</v>
      </c>
      <c r="E537">
        <v>3</v>
      </c>
      <c r="F537">
        <v>9272</v>
      </c>
      <c r="G537" s="9">
        <v>0.19</v>
      </c>
      <c r="H537" t="s">
        <v>20</v>
      </c>
      <c r="I537" t="s">
        <v>1646</v>
      </c>
      <c r="J537" s="14" t="s">
        <v>14</v>
      </c>
      <c r="K537">
        <v>3</v>
      </c>
      <c r="L537" t="s">
        <v>28</v>
      </c>
      <c r="M537">
        <f>Table1[[#This Row],[UnitPrice]]*Table1[[#This Row],[Quantity]]</f>
        <v>27816</v>
      </c>
      <c r="N537">
        <f>Table1[[#This Row],[Total Price]]*Table1[[#This Row],[Discount]]</f>
        <v>5285.04</v>
      </c>
      <c r="O537">
        <f>Table1[[#This Row],[Total Price]]-Table1[[#This Row],[Discount Amount]]</f>
        <v>22530.959999999999</v>
      </c>
    </row>
    <row r="538" spans="1:15" x14ac:dyDescent="0.3">
      <c r="A538" t="s">
        <v>1647</v>
      </c>
      <c r="B538" s="1">
        <v>45452</v>
      </c>
      <c r="C538" t="s">
        <v>1648</v>
      </c>
      <c r="D538" t="s">
        <v>31</v>
      </c>
      <c r="E538">
        <v>2</v>
      </c>
      <c r="F538">
        <v>47792</v>
      </c>
      <c r="G538" s="9">
        <v>0.28000000000000003</v>
      </c>
      <c r="H538" t="s">
        <v>50</v>
      </c>
      <c r="I538" t="s">
        <v>1649</v>
      </c>
      <c r="J538" s="13" t="s">
        <v>14</v>
      </c>
      <c r="K538">
        <v>6</v>
      </c>
      <c r="L538" t="s">
        <v>28</v>
      </c>
      <c r="M538">
        <f>Table1[[#This Row],[UnitPrice]]*Table1[[#This Row],[Quantity]]</f>
        <v>95584</v>
      </c>
      <c r="N538">
        <f>Table1[[#This Row],[Total Price]]*Table1[[#This Row],[Discount]]</f>
        <v>26763.520000000004</v>
      </c>
      <c r="O538">
        <f>Table1[[#This Row],[Total Price]]-Table1[[#This Row],[Discount Amount]]</f>
        <v>68820.479999999996</v>
      </c>
    </row>
    <row r="539" spans="1:15" x14ac:dyDescent="0.3">
      <c r="A539" t="s">
        <v>1650</v>
      </c>
      <c r="B539" s="1">
        <v>45739</v>
      </c>
      <c r="C539" t="s">
        <v>1651</v>
      </c>
      <c r="D539" t="s">
        <v>25</v>
      </c>
      <c r="E539">
        <v>1</v>
      </c>
      <c r="F539">
        <v>13893</v>
      </c>
      <c r="G539" s="9">
        <v>0.4</v>
      </c>
      <c r="H539" t="s">
        <v>20</v>
      </c>
      <c r="I539" t="s">
        <v>1652</v>
      </c>
      <c r="J539" s="14" t="s">
        <v>37</v>
      </c>
      <c r="K539">
        <v>4</v>
      </c>
      <c r="L539" t="s">
        <v>33</v>
      </c>
      <c r="M539">
        <f>Table1[[#This Row],[UnitPrice]]*Table1[[#This Row],[Quantity]]</f>
        <v>13893</v>
      </c>
      <c r="N539">
        <f>Table1[[#This Row],[Total Price]]*Table1[[#This Row],[Discount]]</f>
        <v>5557.2000000000007</v>
      </c>
      <c r="O539">
        <f>Table1[[#This Row],[Total Price]]-Table1[[#This Row],[Discount Amount]]</f>
        <v>8335.7999999999993</v>
      </c>
    </row>
    <row r="540" spans="1:15" x14ac:dyDescent="0.3">
      <c r="A540" t="s">
        <v>1653</v>
      </c>
      <c r="B540" s="1">
        <v>45436</v>
      </c>
      <c r="C540" t="s">
        <v>1654</v>
      </c>
      <c r="D540" t="s">
        <v>19</v>
      </c>
      <c r="E540">
        <v>1</v>
      </c>
      <c r="F540">
        <v>29136</v>
      </c>
      <c r="G540" s="9">
        <v>7.0000000000000007E-2</v>
      </c>
      <c r="H540" t="s">
        <v>50</v>
      </c>
      <c r="I540" t="s">
        <v>1655</v>
      </c>
      <c r="J540" s="13" t="s">
        <v>14</v>
      </c>
      <c r="K540">
        <v>3</v>
      </c>
      <c r="L540" t="s">
        <v>28</v>
      </c>
      <c r="M540">
        <f>Table1[[#This Row],[UnitPrice]]*Table1[[#This Row],[Quantity]]</f>
        <v>29136</v>
      </c>
      <c r="N540">
        <f>Table1[[#This Row],[Total Price]]*Table1[[#This Row],[Discount]]</f>
        <v>2039.5200000000002</v>
      </c>
      <c r="O540">
        <f>Table1[[#This Row],[Total Price]]-Table1[[#This Row],[Discount Amount]]</f>
        <v>27096.48</v>
      </c>
    </row>
    <row r="541" spans="1:15" x14ac:dyDescent="0.3">
      <c r="A541" t="s">
        <v>1656</v>
      </c>
      <c r="B541" s="1">
        <v>45706</v>
      </c>
      <c r="C541" t="s">
        <v>1657</v>
      </c>
      <c r="D541" t="s">
        <v>58</v>
      </c>
      <c r="E541">
        <v>2</v>
      </c>
      <c r="F541">
        <v>7844</v>
      </c>
      <c r="G541" s="9">
        <v>0.02</v>
      </c>
      <c r="H541" t="s">
        <v>45</v>
      </c>
      <c r="I541" t="s">
        <v>1658</v>
      </c>
      <c r="J541" s="14" t="s">
        <v>37</v>
      </c>
      <c r="K541">
        <v>7</v>
      </c>
      <c r="L541" t="s">
        <v>60</v>
      </c>
      <c r="M541">
        <f>Table1[[#This Row],[UnitPrice]]*Table1[[#This Row],[Quantity]]</f>
        <v>15688</v>
      </c>
      <c r="N541">
        <f>Table1[[#This Row],[Total Price]]*Table1[[#This Row],[Discount]]</f>
        <v>313.76</v>
      </c>
      <c r="O541">
        <f>Table1[[#This Row],[Total Price]]-Table1[[#This Row],[Discount Amount]]</f>
        <v>15374.24</v>
      </c>
    </row>
    <row r="542" spans="1:15" x14ac:dyDescent="0.3">
      <c r="A542" t="s">
        <v>1659</v>
      </c>
      <c r="B542" s="1">
        <v>45320</v>
      </c>
      <c r="C542" t="s">
        <v>1660</v>
      </c>
      <c r="D542" t="s">
        <v>44</v>
      </c>
      <c r="E542">
        <v>3</v>
      </c>
      <c r="F542">
        <v>23956</v>
      </c>
      <c r="G542" s="9">
        <v>0.39</v>
      </c>
      <c r="H542" t="s">
        <v>20</v>
      </c>
      <c r="I542" t="s">
        <v>1661</v>
      </c>
      <c r="J542" s="13" t="s">
        <v>73</v>
      </c>
      <c r="K542">
        <v>7</v>
      </c>
      <c r="L542" t="s">
        <v>22</v>
      </c>
      <c r="M542">
        <f>Table1[[#This Row],[UnitPrice]]*Table1[[#This Row],[Quantity]]</f>
        <v>71868</v>
      </c>
      <c r="N542">
        <f>Table1[[#This Row],[Total Price]]*Table1[[#This Row],[Discount]]</f>
        <v>28028.52</v>
      </c>
      <c r="O542">
        <f>Table1[[#This Row],[Total Price]]-Table1[[#This Row],[Discount Amount]]</f>
        <v>43839.479999999996</v>
      </c>
    </row>
    <row r="543" spans="1:15" x14ac:dyDescent="0.3">
      <c r="A543" t="s">
        <v>1662</v>
      </c>
      <c r="B543" s="1">
        <v>45145</v>
      </c>
      <c r="C543" t="s">
        <v>1663</v>
      </c>
      <c r="D543" t="s">
        <v>36</v>
      </c>
      <c r="E543">
        <v>1</v>
      </c>
      <c r="F543">
        <v>7497</v>
      </c>
      <c r="G543" s="9">
        <v>0.32</v>
      </c>
      <c r="H543" t="s">
        <v>50</v>
      </c>
      <c r="I543" t="s">
        <v>1664</v>
      </c>
      <c r="J543" s="14" t="s">
        <v>73</v>
      </c>
      <c r="K543">
        <v>10</v>
      </c>
      <c r="L543" t="s">
        <v>16</v>
      </c>
      <c r="M543">
        <f>Table1[[#This Row],[UnitPrice]]*Table1[[#This Row],[Quantity]]</f>
        <v>7497</v>
      </c>
      <c r="N543">
        <f>Table1[[#This Row],[Total Price]]*Table1[[#This Row],[Discount]]</f>
        <v>2399.04</v>
      </c>
      <c r="O543">
        <f>Table1[[#This Row],[Total Price]]-Table1[[#This Row],[Discount Amount]]</f>
        <v>5097.96</v>
      </c>
    </row>
    <row r="544" spans="1:15" x14ac:dyDescent="0.3">
      <c r="A544" t="s">
        <v>1665</v>
      </c>
      <c r="B544" s="1">
        <v>45244</v>
      </c>
      <c r="C544" t="s">
        <v>1666</v>
      </c>
      <c r="D544" t="s">
        <v>25</v>
      </c>
      <c r="E544">
        <v>3</v>
      </c>
      <c r="F544">
        <v>10327</v>
      </c>
      <c r="G544" s="9">
        <v>0.41</v>
      </c>
      <c r="H544" t="s">
        <v>50</v>
      </c>
      <c r="I544" t="s">
        <v>1667</v>
      </c>
      <c r="J544" s="13" t="s">
        <v>14</v>
      </c>
      <c r="K544">
        <v>6</v>
      </c>
      <c r="L544" t="s">
        <v>28</v>
      </c>
      <c r="M544">
        <f>Table1[[#This Row],[UnitPrice]]*Table1[[#This Row],[Quantity]]</f>
        <v>30981</v>
      </c>
      <c r="N544">
        <f>Table1[[#This Row],[Total Price]]*Table1[[#This Row],[Discount]]</f>
        <v>12702.21</v>
      </c>
      <c r="O544">
        <f>Table1[[#This Row],[Total Price]]-Table1[[#This Row],[Discount Amount]]</f>
        <v>18278.79</v>
      </c>
    </row>
    <row r="545" spans="1:15" x14ac:dyDescent="0.3">
      <c r="A545" t="s">
        <v>1668</v>
      </c>
      <c r="B545" s="1">
        <v>45360</v>
      </c>
      <c r="C545" t="s">
        <v>1669</v>
      </c>
      <c r="D545" t="s">
        <v>58</v>
      </c>
      <c r="E545">
        <v>3</v>
      </c>
      <c r="F545">
        <v>4067</v>
      </c>
      <c r="G545" s="9">
        <v>0.49</v>
      </c>
      <c r="H545" t="s">
        <v>50</v>
      </c>
      <c r="I545" t="s">
        <v>1670</v>
      </c>
      <c r="J545" s="14" t="s">
        <v>14</v>
      </c>
      <c r="K545">
        <v>6</v>
      </c>
      <c r="L545" t="s">
        <v>33</v>
      </c>
      <c r="M545">
        <f>Table1[[#This Row],[UnitPrice]]*Table1[[#This Row],[Quantity]]</f>
        <v>12201</v>
      </c>
      <c r="N545">
        <f>Table1[[#This Row],[Total Price]]*Table1[[#This Row],[Discount]]</f>
        <v>5978.49</v>
      </c>
      <c r="O545">
        <f>Table1[[#This Row],[Total Price]]-Table1[[#This Row],[Discount Amount]]</f>
        <v>6222.51</v>
      </c>
    </row>
    <row r="546" spans="1:15" x14ac:dyDescent="0.3">
      <c r="A546" t="s">
        <v>1671</v>
      </c>
      <c r="B546" s="1">
        <v>45361</v>
      </c>
      <c r="C546" t="s">
        <v>1672</v>
      </c>
      <c r="D546" t="s">
        <v>36</v>
      </c>
      <c r="E546">
        <v>3</v>
      </c>
      <c r="F546">
        <v>7348</v>
      </c>
      <c r="G546" s="9">
        <v>0.13</v>
      </c>
      <c r="H546" t="s">
        <v>26</v>
      </c>
      <c r="I546" t="s">
        <v>1673</v>
      </c>
      <c r="J546" s="13" t="s">
        <v>37</v>
      </c>
      <c r="K546">
        <v>5</v>
      </c>
      <c r="L546" t="s">
        <v>22</v>
      </c>
      <c r="M546">
        <f>Table1[[#This Row],[UnitPrice]]*Table1[[#This Row],[Quantity]]</f>
        <v>22044</v>
      </c>
      <c r="N546">
        <f>Table1[[#This Row],[Total Price]]*Table1[[#This Row],[Discount]]</f>
        <v>2865.7200000000003</v>
      </c>
      <c r="O546">
        <f>Table1[[#This Row],[Total Price]]-Table1[[#This Row],[Discount Amount]]</f>
        <v>19178.28</v>
      </c>
    </row>
    <row r="547" spans="1:15" x14ac:dyDescent="0.3">
      <c r="A547" t="s">
        <v>1674</v>
      </c>
      <c r="B547" s="1">
        <v>45279</v>
      </c>
      <c r="C547" t="s">
        <v>1675</v>
      </c>
      <c r="D547" t="s">
        <v>12</v>
      </c>
      <c r="E547">
        <v>3</v>
      </c>
      <c r="F547">
        <v>5387</v>
      </c>
      <c r="G547" s="9">
        <v>0.1</v>
      </c>
      <c r="H547" t="s">
        <v>50</v>
      </c>
      <c r="I547" t="s">
        <v>1676</v>
      </c>
      <c r="J547" s="14" t="s">
        <v>14</v>
      </c>
      <c r="K547">
        <v>3</v>
      </c>
      <c r="L547" t="s">
        <v>16</v>
      </c>
      <c r="M547">
        <f>Table1[[#This Row],[UnitPrice]]*Table1[[#This Row],[Quantity]]</f>
        <v>16161</v>
      </c>
      <c r="N547">
        <f>Table1[[#This Row],[Total Price]]*Table1[[#This Row],[Discount]]</f>
        <v>1616.1000000000001</v>
      </c>
      <c r="O547">
        <f>Table1[[#This Row],[Total Price]]-Table1[[#This Row],[Discount Amount]]</f>
        <v>14544.9</v>
      </c>
    </row>
    <row r="548" spans="1:15" x14ac:dyDescent="0.3">
      <c r="A548" t="s">
        <v>1677</v>
      </c>
      <c r="B548" s="1">
        <v>45352</v>
      </c>
      <c r="C548" t="s">
        <v>1678</v>
      </c>
      <c r="D548" t="s">
        <v>12</v>
      </c>
      <c r="E548">
        <v>1</v>
      </c>
      <c r="F548">
        <v>8849</v>
      </c>
      <c r="G548" s="9">
        <v>0.17</v>
      </c>
      <c r="H548" t="s">
        <v>26</v>
      </c>
      <c r="I548" t="s">
        <v>1679</v>
      </c>
      <c r="J548" s="13" t="s">
        <v>14</v>
      </c>
      <c r="K548">
        <v>6</v>
      </c>
      <c r="L548" t="s">
        <v>16</v>
      </c>
      <c r="M548">
        <f>Table1[[#This Row],[UnitPrice]]*Table1[[#This Row],[Quantity]]</f>
        <v>8849</v>
      </c>
      <c r="N548">
        <f>Table1[[#This Row],[Total Price]]*Table1[[#This Row],[Discount]]</f>
        <v>1504.3300000000002</v>
      </c>
      <c r="O548">
        <f>Table1[[#This Row],[Total Price]]-Table1[[#This Row],[Discount Amount]]</f>
        <v>7344.67</v>
      </c>
    </row>
    <row r="549" spans="1:15" x14ac:dyDescent="0.3">
      <c r="A549" t="s">
        <v>1680</v>
      </c>
      <c r="B549" s="1">
        <v>45158</v>
      </c>
      <c r="C549" t="s">
        <v>1681</v>
      </c>
      <c r="D549" t="s">
        <v>19</v>
      </c>
      <c r="E549">
        <v>2</v>
      </c>
      <c r="F549">
        <v>23276</v>
      </c>
      <c r="G549" s="9">
        <v>0.44</v>
      </c>
      <c r="H549" t="s">
        <v>20</v>
      </c>
      <c r="I549" t="s">
        <v>1682</v>
      </c>
      <c r="J549" s="14" t="s">
        <v>37</v>
      </c>
      <c r="K549">
        <v>4</v>
      </c>
      <c r="L549" t="s">
        <v>33</v>
      </c>
      <c r="M549">
        <f>Table1[[#This Row],[UnitPrice]]*Table1[[#This Row],[Quantity]]</f>
        <v>46552</v>
      </c>
      <c r="N549">
        <f>Table1[[#This Row],[Total Price]]*Table1[[#This Row],[Discount]]</f>
        <v>20482.88</v>
      </c>
      <c r="O549">
        <f>Table1[[#This Row],[Total Price]]-Table1[[#This Row],[Discount Amount]]</f>
        <v>26069.119999999999</v>
      </c>
    </row>
    <row r="550" spans="1:15" x14ac:dyDescent="0.3">
      <c r="A550" t="s">
        <v>1683</v>
      </c>
      <c r="B550" s="1">
        <v>45296</v>
      </c>
      <c r="C550" t="s">
        <v>1684</v>
      </c>
      <c r="D550" t="s">
        <v>36</v>
      </c>
      <c r="E550">
        <v>2</v>
      </c>
      <c r="F550">
        <v>6548</v>
      </c>
      <c r="G550" s="9">
        <v>0.01</v>
      </c>
      <c r="H550" t="s">
        <v>20</v>
      </c>
      <c r="I550" t="s">
        <v>1685</v>
      </c>
      <c r="J550" s="13" t="s">
        <v>37</v>
      </c>
      <c r="K550">
        <v>5</v>
      </c>
      <c r="L550" t="s">
        <v>16</v>
      </c>
      <c r="M550">
        <f>Table1[[#This Row],[UnitPrice]]*Table1[[#This Row],[Quantity]]</f>
        <v>13096</v>
      </c>
      <c r="N550">
        <f>Table1[[#This Row],[Total Price]]*Table1[[#This Row],[Discount]]</f>
        <v>130.96</v>
      </c>
      <c r="O550">
        <f>Table1[[#This Row],[Total Price]]-Table1[[#This Row],[Discount Amount]]</f>
        <v>12965.04</v>
      </c>
    </row>
    <row r="551" spans="1:15" x14ac:dyDescent="0.3">
      <c r="A551" t="s">
        <v>1686</v>
      </c>
      <c r="B551" s="1">
        <v>45713</v>
      </c>
      <c r="C551" t="s">
        <v>1687</v>
      </c>
      <c r="D551" t="s">
        <v>12</v>
      </c>
      <c r="E551">
        <v>2</v>
      </c>
      <c r="F551">
        <v>6707</v>
      </c>
      <c r="G551" s="9">
        <v>0.01</v>
      </c>
      <c r="H551" t="s">
        <v>13</v>
      </c>
      <c r="I551" t="s">
        <v>1688</v>
      </c>
      <c r="J551" s="14" t="s">
        <v>14</v>
      </c>
      <c r="K551">
        <v>8</v>
      </c>
      <c r="L551" t="s">
        <v>16</v>
      </c>
      <c r="M551">
        <f>Table1[[#This Row],[UnitPrice]]*Table1[[#This Row],[Quantity]]</f>
        <v>13414</v>
      </c>
      <c r="N551">
        <f>Table1[[#This Row],[Total Price]]*Table1[[#This Row],[Discount]]</f>
        <v>134.14000000000001</v>
      </c>
      <c r="O551">
        <f>Table1[[#This Row],[Total Price]]-Table1[[#This Row],[Discount Amount]]</f>
        <v>13279.86</v>
      </c>
    </row>
    <row r="552" spans="1:15" x14ac:dyDescent="0.3">
      <c r="A552" t="s">
        <v>1689</v>
      </c>
      <c r="B552" s="1">
        <v>45228</v>
      </c>
      <c r="C552" t="s">
        <v>1690</v>
      </c>
      <c r="D552" t="s">
        <v>44</v>
      </c>
      <c r="E552">
        <v>1</v>
      </c>
      <c r="F552">
        <v>63570</v>
      </c>
      <c r="G552" s="9">
        <v>0.11</v>
      </c>
      <c r="H552" t="s">
        <v>50</v>
      </c>
      <c r="I552" t="s">
        <v>1691</v>
      </c>
      <c r="J552" s="13" t="s">
        <v>14</v>
      </c>
      <c r="K552">
        <v>4</v>
      </c>
      <c r="L552" t="s">
        <v>60</v>
      </c>
      <c r="M552">
        <f>Table1[[#This Row],[UnitPrice]]*Table1[[#This Row],[Quantity]]</f>
        <v>63570</v>
      </c>
      <c r="N552">
        <f>Table1[[#This Row],[Total Price]]*Table1[[#This Row],[Discount]]</f>
        <v>6992.7</v>
      </c>
      <c r="O552">
        <f>Table1[[#This Row],[Total Price]]-Table1[[#This Row],[Discount Amount]]</f>
        <v>56577.3</v>
      </c>
    </row>
    <row r="553" spans="1:15" x14ac:dyDescent="0.3">
      <c r="A553" t="s">
        <v>1692</v>
      </c>
      <c r="B553" s="1">
        <v>45064</v>
      </c>
      <c r="C553" t="s">
        <v>1693</v>
      </c>
      <c r="D553" t="s">
        <v>44</v>
      </c>
      <c r="E553">
        <v>3</v>
      </c>
      <c r="F553">
        <v>40216</v>
      </c>
      <c r="G553" s="9">
        <v>0.19</v>
      </c>
      <c r="H553" t="s">
        <v>13</v>
      </c>
      <c r="I553" t="s">
        <v>1694</v>
      </c>
      <c r="J553" s="14" t="s">
        <v>37</v>
      </c>
      <c r="K553">
        <v>6</v>
      </c>
      <c r="L553" t="s">
        <v>28</v>
      </c>
      <c r="M553">
        <f>Table1[[#This Row],[UnitPrice]]*Table1[[#This Row],[Quantity]]</f>
        <v>120648</v>
      </c>
      <c r="N553">
        <f>Table1[[#This Row],[Total Price]]*Table1[[#This Row],[Discount]]</f>
        <v>22923.119999999999</v>
      </c>
      <c r="O553">
        <f>Table1[[#This Row],[Total Price]]-Table1[[#This Row],[Discount Amount]]</f>
        <v>97724.88</v>
      </c>
    </row>
    <row r="554" spans="1:15" x14ac:dyDescent="0.3">
      <c r="A554" t="s">
        <v>1695</v>
      </c>
      <c r="B554" s="1">
        <v>45199</v>
      </c>
      <c r="C554" t="s">
        <v>1696</v>
      </c>
      <c r="D554" t="s">
        <v>31</v>
      </c>
      <c r="E554">
        <v>3</v>
      </c>
      <c r="F554">
        <v>15981</v>
      </c>
      <c r="G554" s="9">
        <v>0.15</v>
      </c>
      <c r="H554" t="s">
        <v>20</v>
      </c>
      <c r="I554" t="s">
        <v>1697</v>
      </c>
      <c r="J554" s="13" t="s">
        <v>73</v>
      </c>
      <c r="K554">
        <v>8</v>
      </c>
      <c r="L554" t="s">
        <v>33</v>
      </c>
      <c r="M554">
        <f>Table1[[#This Row],[UnitPrice]]*Table1[[#This Row],[Quantity]]</f>
        <v>47943</v>
      </c>
      <c r="N554">
        <f>Table1[[#This Row],[Total Price]]*Table1[[#This Row],[Discount]]</f>
        <v>7191.45</v>
      </c>
      <c r="O554">
        <f>Table1[[#This Row],[Total Price]]-Table1[[#This Row],[Discount Amount]]</f>
        <v>40751.550000000003</v>
      </c>
    </row>
    <row r="555" spans="1:15" x14ac:dyDescent="0.3">
      <c r="A555" t="s">
        <v>1698</v>
      </c>
      <c r="B555" s="1">
        <v>45161</v>
      </c>
      <c r="C555" t="s">
        <v>1699</v>
      </c>
      <c r="D555" t="s">
        <v>19</v>
      </c>
      <c r="E555">
        <v>3</v>
      </c>
      <c r="F555">
        <v>31899</v>
      </c>
      <c r="G555" s="9">
        <v>0.41</v>
      </c>
      <c r="H555" t="s">
        <v>45</v>
      </c>
      <c r="I555" t="s">
        <v>1700</v>
      </c>
      <c r="J555" s="14" t="s">
        <v>14</v>
      </c>
      <c r="K555">
        <v>4</v>
      </c>
      <c r="L555" t="s">
        <v>22</v>
      </c>
      <c r="M555">
        <f>Table1[[#This Row],[UnitPrice]]*Table1[[#This Row],[Quantity]]</f>
        <v>95697</v>
      </c>
      <c r="N555">
        <f>Table1[[#This Row],[Total Price]]*Table1[[#This Row],[Discount]]</f>
        <v>39235.769999999997</v>
      </c>
      <c r="O555">
        <f>Table1[[#This Row],[Total Price]]-Table1[[#This Row],[Discount Amount]]</f>
        <v>56461.23</v>
      </c>
    </row>
    <row r="556" spans="1:15" x14ac:dyDescent="0.3">
      <c r="A556" t="s">
        <v>1701</v>
      </c>
      <c r="B556" s="1">
        <v>45807</v>
      </c>
      <c r="C556" t="s">
        <v>1702</v>
      </c>
      <c r="D556" t="s">
        <v>44</v>
      </c>
      <c r="E556">
        <v>3</v>
      </c>
      <c r="F556">
        <v>35623</v>
      </c>
      <c r="G556" s="9">
        <v>0.34</v>
      </c>
      <c r="H556" t="s">
        <v>50</v>
      </c>
      <c r="I556" t="s">
        <v>1703</v>
      </c>
      <c r="J556" s="13" t="s">
        <v>14</v>
      </c>
      <c r="K556">
        <v>5</v>
      </c>
      <c r="L556" t="s">
        <v>16</v>
      </c>
      <c r="M556">
        <f>Table1[[#This Row],[UnitPrice]]*Table1[[#This Row],[Quantity]]</f>
        <v>106869</v>
      </c>
      <c r="N556">
        <f>Table1[[#This Row],[Total Price]]*Table1[[#This Row],[Discount]]</f>
        <v>36335.46</v>
      </c>
      <c r="O556">
        <f>Table1[[#This Row],[Total Price]]-Table1[[#This Row],[Discount Amount]]</f>
        <v>70533.540000000008</v>
      </c>
    </row>
    <row r="557" spans="1:15" x14ac:dyDescent="0.3">
      <c r="A557" t="s">
        <v>1704</v>
      </c>
      <c r="B557" s="1">
        <v>44933</v>
      </c>
      <c r="C557" t="s">
        <v>1705</v>
      </c>
      <c r="D557" t="s">
        <v>25</v>
      </c>
      <c r="E557">
        <v>2</v>
      </c>
      <c r="F557">
        <v>6119</v>
      </c>
      <c r="G557" s="9">
        <v>0.42</v>
      </c>
      <c r="H557" t="s">
        <v>50</v>
      </c>
      <c r="I557" t="s">
        <v>1706</v>
      </c>
      <c r="J557" s="14" t="s">
        <v>14</v>
      </c>
      <c r="K557">
        <v>2</v>
      </c>
      <c r="L557" t="s">
        <v>33</v>
      </c>
      <c r="M557">
        <f>Table1[[#This Row],[UnitPrice]]*Table1[[#This Row],[Quantity]]</f>
        <v>12238</v>
      </c>
      <c r="N557">
        <f>Table1[[#This Row],[Total Price]]*Table1[[#This Row],[Discount]]</f>
        <v>5139.96</v>
      </c>
      <c r="O557">
        <f>Table1[[#This Row],[Total Price]]-Table1[[#This Row],[Discount Amount]]</f>
        <v>7098.04</v>
      </c>
    </row>
    <row r="558" spans="1:15" x14ac:dyDescent="0.3">
      <c r="A558" t="s">
        <v>1707</v>
      </c>
      <c r="B558" s="1">
        <v>44954</v>
      </c>
      <c r="C558" t="s">
        <v>1708</v>
      </c>
      <c r="D558" t="s">
        <v>44</v>
      </c>
      <c r="E558">
        <v>2</v>
      </c>
      <c r="F558">
        <v>45845</v>
      </c>
      <c r="G558" s="9">
        <v>0.19</v>
      </c>
      <c r="H558" t="s">
        <v>45</v>
      </c>
      <c r="I558" t="s">
        <v>1709</v>
      </c>
      <c r="J558" s="13" t="s">
        <v>73</v>
      </c>
      <c r="K558">
        <v>2</v>
      </c>
      <c r="L558" t="s">
        <v>33</v>
      </c>
      <c r="M558">
        <f>Table1[[#This Row],[UnitPrice]]*Table1[[#This Row],[Quantity]]</f>
        <v>91690</v>
      </c>
      <c r="N558">
        <f>Table1[[#This Row],[Total Price]]*Table1[[#This Row],[Discount]]</f>
        <v>17421.099999999999</v>
      </c>
      <c r="O558">
        <f>Table1[[#This Row],[Total Price]]-Table1[[#This Row],[Discount Amount]]</f>
        <v>74268.899999999994</v>
      </c>
    </row>
    <row r="559" spans="1:15" x14ac:dyDescent="0.3">
      <c r="A559" t="s">
        <v>1710</v>
      </c>
      <c r="B559" s="1">
        <v>45106</v>
      </c>
      <c r="C559" t="s">
        <v>1711</v>
      </c>
      <c r="D559" t="s">
        <v>25</v>
      </c>
      <c r="E559">
        <v>3</v>
      </c>
      <c r="F559">
        <v>6659</v>
      </c>
      <c r="G559" s="9">
        <v>0.3</v>
      </c>
      <c r="H559" t="s">
        <v>13</v>
      </c>
      <c r="I559" t="s">
        <v>1712</v>
      </c>
      <c r="J559" s="14" t="s">
        <v>73</v>
      </c>
      <c r="K559">
        <v>1</v>
      </c>
      <c r="L559" t="s">
        <v>33</v>
      </c>
      <c r="M559">
        <f>Table1[[#This Row],[UnitPrice]]*Table1[[#This Row],[Quantity]]</f>
        <v>19977</v>
      </c>
      <c r="N559">
        <f>Table1[[#This Row],[Total Price]]*Table1[[#This Row],[Discount]]</f>
        <v>5993.0999999999995</v>
      </c>
      <c r="O559">
        <f>Table1[[#This Row],[Total Price]]-Table1[[#This Row],[Discount Amount]]</f>
        <v>13983.900000000001</v>
      </c>
    </row>
    <row r="560" spans="1:15" x14ac:dyDescent="0.3">
      <c r="A560" t="s">
        <v>1713</v>
      </c>
      <c r="B560" s="1">
        <v>45489</v>
      </c>
      <c r="C560" t="s">
        <v>1714</v>
      </c>
      <c r="D560" t="s">
        <v>19</v>
      </c>
      <c r="E560">
        <v>3</v>
      </c>
      <c r="F560">
        <v>17207</v>
      </c>
      <c r="G560" s="9">
        <v>0.26</v>
      </c>
      <c r="H560" t="s">
        <v>20</v>
      </c>
      <c r="I560" t="s">
        <v>1715</v>
      </c>
      <c r="J560" s="13" t="s">
        <v>37</v>
      </c>
      <c r="K560">
        <v>6</v>
      </c>
      <c r="L560" t="s">
        <v>16</v>
      </c>
      <c r="M560">
        <f>Table1[[#This Row],[UnitPrice]]*Table1[[#This Row],[Quantity]]</f>
        <v>51621</v>
      </c>
      <c r="N560">
        <f>Table1[[#This Row],[Total Price]]*Table1[[#This Row],[Discount]]</f>
        <v>13421.460000000001</v>
      </c>
      <c r="O560">
        <f>Table1[[#This Row],[Total Price]]-Table1[[#This Row],[Discount Amount]]</f>
        <v>38199.54</v>
      </c>
    </row>
    <row r="561" spans="1:15" x14ac:dyDescent="0.3">
      <c r="A561" t="s">
        <v>1716</v>
      </c>
      <c r="B561" s="1">
        <v>45397</v>
      </c>
      <c r="C561" t="s">
        <v>1717</v>
      </c>
      <c r="D561" t="s">
        <v>58</v>
      </c>
      <c r="E561">
        <v>2</v>
      </c>
      <c r="F561">
        <v>4717</v>
      </c>
      <c r="G561" s="9">
        <v>0.24</v>
      </c>
      <c r="H561" t="s">
        <v>13</v>
      </c>
      <c r="I561" t="s">
        <v>1718</v>
      </c>
      <c r="J561" s="14" t="s">
        <v>37</v>
      </c>
      <c r="K561">
        <v>7</v>
      </c>
      <c r="L561" t="s">
        <v>28</v>
      </c>
      <c r="M561">
        <f>Table1[[#This Row],[UnitPrice]]*Table1[[#This Row],[Quantity]]</f>
        <v>9434</v>
      </c>
      <c r="N561">
        <f>Table1[[#This Row],[Total Price]]*Table1[[#This Row],[Discount]]</f>
        <v>2264.16</v>
      </c>
      <c r="O561">
        <f>Table1[[#This Row],[Total Price]]-Table1[[#This Row],[Discount Amount]]</f>
        <v>7169.84</v>
      </c>
    </row>
    <row r="562" spans="1:15" x14ac:dyDescent="0.3">
      <c r="A562" t="s">
        <v>1719</v>
      </c>
      <c r="B562" s="1">
        <v>44957</v>
      </c>
      <c r="C562" t="s">
        <v>1720</v>
      </c>
      <c r="D562" t="s">
        <v>12</v>
      </c>
      <c r="E562">
        <v>2</v>
      </c>
      <c r="F562">
        <v>4905</v>
      </c>
      <c r="G562" s="9">
        <v>0.14000000000000001</v>
      </c>
      <c r="H562" t="s">
        <v>45</v>
      </c>
      <c r="I562" t="s">
        <v>1721</v>
      </c>
      <c r="J562" s="13" t="s">
        <v>73</v>
      </c>
      <c r="K562">
        <v>7</v>
      </c>
      <c r="L562" t="s">
        <v>28</v>
      </c>
      <c r="M562">
        <f>Table1[[#This Row],[UnitPrice]]*Table1[[#This Row],[Quantity]]</f>
        <v>9810</v>
      </c>
      <c r="N562">
        <f>Table1[[#This Row],[Total Price]]*Table1[[#This Row],[Discount]]</f>
        <v>1373.4</v>
      </c>
      <c r="O562">
        <f>Table1[[#This Row],[Total Price]]-Table1[[#This Row],[Discount Amount]]</f>
        <v>8436.6</v>
      </c>
    </row>
    <row r="563" spans="1:15" x14ac:dyDescent="0.3">
      <c r="A563" t="s">
        <v>1722</v>
      </c>
      <c r="B563" s="1">
        <v>44957</v>
      </c>
      <c r="C563" t="s">
        <v>1723</v>
      </c>
      <c r="D563" t="s">
        <v>36</v>
      </c>
      <c r="E563">
        <v>3</v>
      </c>
      <c r="F563">
        <v>9374</v>
      </c>
      <c r="G563" s="9">
        <v>0.35</v>
      </c>
      <c r="H563" t="s">
        <v>20</v>
      </c>
      <c r="I563" t="s">
        <v>1724</v>
      </c>
      <c r="J563" s="14" t="s">
        <v>14</v>
      </c>
      <c r="K563">
        <v>2</v>
      </c>
      <c r="L563" t="s">
        <v>60</v>
      </c>
      <c r="M563">
        <f>Table1[[#This Row],[UnitPrice]]*Table1[[#This Row],[Quantity]]</f>
        <v>28122</v>
      </c>
      <c r="N563">
        <f>Table1[[#This Row],[Total Price]]*Table1[[#This Row],[Discount]]</f>
        <v>9842.6999999999989</v>
      </c>
      <c r="O563">
        <f>Table1[[#This Row],[Total Price]]-Table1[[#This Row],[Discount Amount]]</f>
        <v>18279.300000000003</v>
      </c>
    </row>
    <row r="564" spans="1:15" x14ac:dyDescent="0.3">
      <c r="A564" t="s">
        <v>1725</v>
      </c>
      <c r="B564" s="1">
        <v>45205</v>
      </c>
      <c r="C564" t="s">
        <v>1726</v>
      </c>
      <c r="D564" t="s">
        <v>44</v>
      </c>
      <c r="E564">
        <v>1</v>
      </c>
      <c r="F564">
        <v>41406</v>
      </c>
      <c r="G564" s="9">
        <v>0.26</v>
      </c>
      <c r="H564" t="s">
        <v>45</v>
      </c>
      <c r="I564" t="s">
        <v>1727</v>
      </c>
      <c r="J564" s="13" t="s">
        <v>37</v>
      </c>
      <c r="K564">
        <v>6</v>
      </c>
      <c r="L564" t="s">
        <v>28</v>
      </c>
      <c r="M564">
        <f>Table1[[#This Row],[UnitPrice]]*Table1[[#This Row],[Quantity]]</f>
        <v>41406</v>
      </c>
      <c r="N564">
        <f>Table1[[#This Row],[Total Price]]*Table1[[#This Row],[Discount]]</f>
        <v>10765.56</v>
      </c>
      <c r="O564">
        <f>Table1[[#This Row],[Total Price]]-Table1[[#This Row],[Discount Amount]]</f>
        <v>30640.440000000002</v>
      </c>
    </row>
    <row r="565" spans="1:15" x14ac:dyDescent="0.3">
      <c r="A565" t="s">
        <v>1728</v>
      </c>
      <c r="B565" s="1">
        <v>45272</v>
      </c>
      <c r="C565" t="s">
        <v>1729</v>
      </c>
      <c r="D565" t="s">
        <v>44</v>
      </c>
      <c r="E565">
        <v>2</v>
      </c>
      <c r="F565">
        <v>47649</v>
      </c>
      <c r="G565" s="9">
        <v>0.04</v>
      </c>
      <c r="H565" t="s">
        <v>13</v>
      </c>
      <c r="I565" t="s">
        <v>1730</v>
      </c>
      <c r="J565" s="14" t="s">
        <v>14</v>
      </c>
      <c r="K565">
        <v>1</v>
      </c>
      <c r="L565" t="s">
        <v>22</v>
      </c>
      <c r="M565">
        <f>Table1[[#This Row],[UnitPrice]]*Table1[[#This Row],[Quantity]]</f>
        <v>95298</v>
      </c>
      <c r="N565">
        <f>Table1[[#This Row],[Total Price]]*Table1[[#This Row],[Discount]]</f>
        <v>3811.92</v>
      </c>
      <c r="O565">
        <f>Table1[[#This Row],[Total Price]]-Table1[[#This Row],[Discount Amount]]</f>
        <v>91486.080000000002</v>
      </c>
    </row>
    <row r="566" spans="1:15" x14ac:dyDescent="0.3">
      <c r="A566" t="s">
        <v>1731</v>
      </c>
      <c r="B566" s="1">
        <v>45755</v>
      </c>
      <c r="C566" t="s">
        <v>1732</v>
      </c>
      <c r="D566" t="s">
        <v>58</v>
      </c>
      <c r="E566">
        <v>2</v>
      </c>
      <c r="F566">
        <v>2586</v>
      </c>
      <c r="G566" s="9">
        <v>0</v>
      </c>
      <c r="H566" t="s">
        <v>26</v>
      </c>
      <c r="I566" t="s">
        <v>1733</v>
      </c>
      <c r="J566" s="13" t="s">
        <v>14</v>
      </c>
      <c r="K566">
        <v>5</v>
      </c>
      <c r="L566" t="s">
        <v>60</v>
      </c>
      <c r="M566">
        <f>Table1[[#This Row],[UnitPrice]]*Table1[[#This Row],[Quantity]]</f>
        <v>5172</v>
      </c>
      <c r="N566">
        <f>Table1[[#This Row],[Total Price]]*Table1[[#This Row],[Discount]]</f>
        <v>0</v>
      </c>
      <c r="O566">
        <f>Table1[[#This Row],[Total Price]]-Table1[[#This Row],[Discount Amount]]</f>
        <v>5172</v>
      </c>
    </row>
    <row r="567" spans="1:15" x14ac:dyDescent="0.3">
      <c r="A567" t="s">
        <v>1734</v>
      </c>
      <c r="B567" s="1">
        <v>45060</v>
      </c>
      <c r="C567" t="s">
        <v>1735</v>
      </c>
      <c r="D567" t="s">
        <v>25</v>
      </c>
      <c r="E567">
        <v>3</v>
      </c>
      <c r="F567">
        <v>10376</v>
      </c>
      <c r="G567" s="9">
        <v>0.01</v>
      </c>
      <c r="H567" t="s">
        <v>20</v>
      </c>
      <c r="I567" t="s">
        <v>1736</v>
      </c>
      <c r="J567" s="14" t="s">
        <v>73</v>
      </c>
      <c r="K567">
        <v>10</v>
      </c>
      <c r="L567" t="s">
        <v>33</v>
      </c>
      <c r="M567">
        <f>Table1[[#This Row],[UnitPrice]]*Table1[[#This Row],[Quantity]]</f>
        <v>31128</v>
      </c>
      <c r="N567">
        <f>Table1[[#This Row],[Total Price]]*Table1[[#This Row],[Discount]]</f>
        <v>311.28000000000003</v>
      </c>
      <c r="O567">
        <f>Table1[[#This Row],[Total Price]]-Table1[[#This Row],[Discount Amount]]</f>
        <v>30816.720000000001</v>
      </c>
    </row>
    <row r="568" spans="1:15" x14ac:dyDescent="0.3">
      <c r="A568" t="s">
        <v>1737</v>
      </c>
      <c r="B568" s="1">
        <v>45400</v>
      </c>
      <c r="C568" t="s">
        <v>1738</v>
      </c>
      <c r="D568" t="s">
        <v>19</v>
      </c>
      <c r="E568">
        <v>3</v>
      </c>
      <c r="F568">
        <v>32034</v>
      </c>
      <c r="G568" s="9">
        <v>0.04</v>
      </c>
      <c r="H568" t="s">
        <v>50</v>
      </c>
      <c r="I568" t="s">
        <v>1739</v>
      </c>
      <c r="J568" s="13" t="s">
        <v>14</v>
      </c>
      <c r="K568">
        <v>7</v>
      </c>
      <c r="L568" t="s">
        <v>28</v>
      </c>
      <c r="M568">
        <f>Table1[[#This Row],[UnitPrice]]*Table1[[#This Row],[Quantity]]</f>
        <v>96102</v>
      </c>
      <c r="N568">
        <f>Table1[[#This Row],[Total Price]]*Table1[[#This Row],[Discount]]</f>
        <v>3844.08</v>
      </c>
      <c r="O568">
        <f>Table1[[#This Row],[Total Price]]-Table1[[#This Row],[Discount Amount]]</f>
        <v>92257.919999999998</v>
      </c>
    </row>
    <row r="569" spans="1:15" x14ac:dyDescent="0.3">
      <c r="A569" t="s">
        <v>1740</v>
      </c>
      <c r="B569" s="1">
        <v>45565</v>
      </c>
      <c r="C569" t="s">
        <v>1741</v>
      </c>
      <c r="D569" t="s">
        <v>31</v>
      </c>
      <c r="E569">
        <v>1</v>
      </c>
      <c r="F569">
        <v>20973</v>
      </c>
      <c r="G569" s="9">
        <v>0.19</v>
      </c>
      <c r="H569" t="s">
        <v>50</v>
      </c>
      <c r="I569" t="s">
        <v>1742</v>
      </c>
      <c r="J569" s="14" t="s">
        <v>14</v>
      </c>
      <c r="K569">
        <v>10</v>
      </c>
      <c r="L569" t="s">
        <v>28</v>
      </c>
      <c r="M569">
        <f>Table1[[#This Row],[UnitPrice]]*Table1[[#This Row],[Quantity]]</f>
        <v>20973</v>
      </c>
      <c r="N569">
        <f>Table1[[#This Row],[Total Price]]*Table1[[#This Row],[Discount]]</f>
        <v>3984.87</v>
      </c>
      <c r="O569">
        <f>Table1[[#This Row],[Total Price]]-Table1[[#This Row],[Discount Amount]]</f>
        <v>16988.13</v>
      </c>
    </row>
    <row r="570" spans="1:15" x14ac:dyDescent="0.3">
      <c r="A570" t="s">
        <v>1743</v>
      </c>
      <c r="B570" s="1">
        <v>44995</v>
      </c>
      <c r="C570" t="s">
        <v>1744</v>
      </c>
      <c r="D570" t="s">
        <v>44</v>
      </c>
      <c r="E570">
        <v>3</v>
      </c>
      <c r="F570">
        <v>20516</v>
      </c>
      <c r="G570" s="9">
        <v>0.15</v>
      </c>
      <c r="H570" t="s">
        <v>20</v>
      </c>
      <c r="I570" t="s">
        <v>1745</v>
      </c>
      <c r="J570" s="13" t="s">
        <v>37</v>
      </c>
      <c r="K570">
        <v>4</v>
      </c>
      <c r="L570" t="s">
        <v>60</v>
      </c>
      <c r="M570">
        <f>Table1[[#This Row],[UnitPrice]]*Table1[[#This Row],[Quantity]]</f>
        <v>61548</v>
      </c>
      <c r="N570">
        <f>Table1[[#This Row],[Total Price]]*Table1[[#This Row],[Discount]]</f>
        <v>9232.1999999999989</v>
      </c>
      <c r="O570">
        <f>Table1[[#This Row],[Total Price]]-Table1[[#This Row],[Discount Amount]]</f>
        <v>52315.8</v>
      </c>
    </row>
    <row r="571" spans="1:15" x14ac:dyDescent="0.3">
      <c r="A571" t="s">
        <v>1746</v>
      </c>
      <c r="B571" s="1">
        <v>45738</v>
      </c>
      <c r="C571" t="s">
        <v>1747</v>
      </c>
      <c r="D571" t="s">
        <v>58</v>
      </c>
      <c r="E571">
        <v>1</v>
      </c>
      <c r="F571">
        <v>9643</v>
      </c>
      <c r="G571" s="9">
        <v>0.08</v>
      </c>
      <c r="H571" t="s">
        <v>50</v>
      </c>
      <c r="I571" t="s">
        <v>1748</v>
      </c>
      <c r="J571" s="14" t="s">
        <v>14</v>
      </c>
      <c r="K571">
        <v>8</v>
      </c>
      <c r="L571" t="s">
        <v>16</v>
      </c>
      <c r="M571">
        <f>Table1[[#This Row],[UnitPrice]]*Table1[[#This Row],[Quantity]]</f>
        <v>9643</v>
      </c>
      <c r="N571">
        <f>Table1[[#This Row],[Total Price]]*Table1[[#This Row],[Discount]]</f>
        <v>771.44</v>
      </c>
      <c r="O571">
        <f>Table1[[#This Row],[Total Price]]-Table1[[#This Row],[Discount Amount]]</f>
        <v>8871.56</v>
      </c>
    </row>
    <row r="572" spans="1:15" x14ac:dyDescent="0.3">
      <c r="A572" t="s">
        <v>1749</v>
      </c>
      <c r="B572" s="1">
        <v>45653</v>
      </c>
      <c r="C572" t="s">
        <v>1750</v>
      </c>
      <c r="D572" t="s">
        <v>58</v>
      </c>
      <c r="E572">
        <v>3</v>
      </c>
      <c r="F572">
        <v>8229</v>
      </c>
      <c r="G572" s="9">
        <v>0.26</v>
      </c>
      <c r="H572" t="s">
        <v>13</v>
      </c>
      <c r="I572" t="s">
        <v>1751</v>
      </c>
      <c r="J572" s="13" t="s">
        <v>73</v>
      </c>
      <c r="K572">
        <v>2</v>
      </c>
      <c r="L572" t="s">
        <v>16</v>
      </c>
      <c r="M572">
        <f>Table1[[#This Row],[UnitPrice]]*Table1[[#This Row],[Quantity]]</f>
        <v>24687</v>
      </c>
      <c r="N572">
        <f>Table1[[#This Row],[Total Price]]*Table1[[#This Row],[Discount]]</f>
        <v>6418.62</v>
      </c>
      <c r="O572">
        <f>Table1[[#This Row],[Total Price]]-Table1[[#This Row],[Discount Amount]]</f>
        <v>18268.38</v>
      </c>
    </row>
    <row r="573" spans="1:15" x14ac:dyDescent="0.3">
      <c r="A573" t="s">
        <v>1752</v>
      </c>
      <c r="B573" s="1">
        <v>45619</v>
      </c>
      <c r="C573" t="s">
        <v>1753</v>
      </c>
      <c r="D573" t="s">
        <v>25</v>
      </c>
      <c r="E573">
        <v>2</v>
      </c>
      <c r="F573">
        <v>2323</v>
      </c>
      <c r="G573" s="9">
        <v>0.49</v>
      </c>
      <c r="H573" t="s">
        <v>45</v>
      </c>
      <c r="I573" t="s">
        <v>1754</v>
      </c>
      <c r="J573" s="14" t="s">
        <v>37</v>
      </c>
      <c r="K573">
        <v>2</v>
      </c>
      <c r="L573" t="s">
        <v>60</v>
      </c>
      <c r="M573">
        <f>Table1[[#This Row],[UnitPrice]]*Table1[[#This Row],[Quantity]]</f>
        <v>4646</v>
      </c>
      <c r="N573">
        <f>Table1[[#This Row],[Total Price]]*Table1[[#This Row],[Discount]]</f>
        <v>2276.54</v>
      </c>
      <c r="O573">
        <f>Table1[[#This Row],[Total Price]]-Table1[[#This Row],[Discount Amount]]</f>
        <v>2369.46</v>
      </c>
    </row>
    <row r="574" spans="1:15" x14ac:dyDescent="0.3">
      <c r="A574" t="s">
        <v>1755</v>
      </c>
      <c r="B574" s="1">
        <v>45241</v>
      </c>
      <c r="C574" t="s">
        <v>1756</v>
      </c>
      <c r="D574" t="s">
        <v>36</v>
      </c>
      <c r="E574">
        <v>2</v>
      </c>
      <c r="F574">
        <v>9570</v>
      </c>
      <c r="G574" s="9">
        <v>0.08</v>
      </c>
      <c r="H574" t="s">
        <v>50</v>
      </c>
      <c r="I574" t="s">
        <v>1757</v>
      </c>
      <c r="J574" s="13" t="s">
        <v>73</v>
      </c>
      <c r="K574">
        <v>4</v>
      </c>
      <c r="L574" t="s">
        <v>33</v>
      </c>
      <c r="M574">
        <f>Table1[[#This Row],[UnitPrice]]*Table1[[#This Row],[Quantity]]</f>
        <v>19140</v>
      </c>
      <c r="N574">
        <f>Table1[[#This Row],[Total Price]]*Table1[[#This Row],[Discount]]</f>
        <v>1531.2</v>
      </c>
      <c r="O574">
        <f>Table1[[#This Row],[Total Price]]-Table1[[#This Row],[Discount Amount]]</f>
        <v>17608.8</v>
      </c>
    </row>
    <row r="575" spans="1:15" x14ac:dyDescent="0.3">
      <c r="A575" t="s">
        <v>1758</v>
      </c>
      <c r="B575" s="1">
        <v>44951</v>
      </c>
      <c r="C575" t="s">
        <v>1759</v>
      </c>
      <c r="D575" t="s">
        <v>31</v>
      </c>
      <c r="E575">
        <v>1</v>
      </c>
      <c r="F575">
        <v>16512</v>
      </c>
      <c r="G575" s="9">
        <v>0.13</v>
      </c>
      <c r="H575" t="s">
        <v>13</v>
      </c>
      <c r="I575" t="s">
        <v>1760</v>
      </c>
      <c r="J575" s="14" t="s">
        <v>14</v>
      </c>
      <c r="K575">
        <v>7</v>
      </c>
      <c r="L575" t="s">
        <v>16</v>
      </c>
      <c r="M575">
        <f>Table1[[#This Row],[UnitPrice]]*Table1[[#This Row],[Quantity]]</f>
        <v>16512</v>
      </c>
      <c r="N575">
        <f>Table1[[#This Row],[Total Price]]*Table1[[#This Row],[Discount]]</f>
        <v>2146.56</v>
      </c>
      <c r="O575">
        <f>Table1[[#This Row],[Total Price]]-Table1[[#This Row],[Discount Amount]]</f>
        <v>14365.44</v>
      </c>
    </row>
    <row r="576" spans="1:15" x14ac:dyDescent="0.3">
      <c r="A576" t="s">
        <v>1761</v>
      </c>
      <c r="B576" s="1">
        <v>45315</v>
      </c>
      <c r="C576" t="s">
        <v>1762</v>
      </c>
      <c r="D576" t="s">
        <v>31</v>
      </c>
      <c r="E576">
        <v>3</v>
      </c>
      <c r="F576">
        <v>43713</v>
      </c>
      <c r="G576" s="9">
        <v>0.23</v>
      </c>
      <c r="H576" t="s">
        <v>26</v>
      </c>
      <c r="I576" t="s">
        <v>1763</v>
      </c>
      <c r="J576" s="13" t="s">
        <v>73</v>
      </c>
      <c r="K576">
        <v>6</v>
      </c>
      <c r="L576" t="s">
        <v>28</v>
      </c>
      <c r="M576">
        <f>Table1[[#This Row],[UnitPrice]]*Table1[[#This Row],[Quantity]]</f>
        <v>131139</v>
      </c>
      <c r="N576">
        <f>Table1[[#This Row],[Total Price]]*Table1[[#This Row],[Discount]]</f>
        <v>30161.97</v>
      </c>
      <c r="O576">
        <f>Table1[[#This Row],[Total Price]]-Table1[[#This Row],[Discount Amount]]</f>
        <v>100977.03</v>
      </c>
    </row>
    <row r="577" spans="1:15" x14ac:dyDescent="0.3">
      <c r="A577" t="s">
        <v>1764</v>
      </c>
      <c r="B577" s="1">
        <v>45084</v>
      </c>
      <c r="C577" t="s">
        <v>1765</v>
      </c>
      <c r="D577" t="s">
        <v>31</v>
      </c>
      <c r="E577">
        <v>2</v>
      </c>
      <c r="F577">
        <v>30957</v>
      </c>
      <c r="G577" s="9">
        <v>0.32</v>
      </c>
      <c r="H577" t="s">
        <v>45</v>
      </c>
      <c r="I577" t="s">
        <v>1766</v>
      </c>
      <c r="J577" s="14" t="s">
        <v>14</v>
      </c>
      <c r="K577">
        <v>7</v>
      </c>
      <c r="L577" t="s">
        <v>60</v>
      </c>
      <c r="M577">
        <f>Table1[[#This Row],[UnitPrice]]*Table1[[#This Row],[Quantity]]</f>
        <v>61914</v>
      </c>
      <c r="N577">
        <f>Table1[[#This Row],[Total Price]]*Table1[[#This Row],[Discount]]</f>
        <v>19812.48</v>
      </c>
      <c r="O577">
        <f>Table1[[#This Row],[Total Price]]-Table1[[#This Row],[Discount Amount]]</f>
        <v>42101.520000000004</v>
      </c>
    </row>
    <row r="578" spans="1:15" x14ac:dyDescent="0.3">
      <c r="A578" t="s">
        <v>1767</v>
      </c>
      <c r="B578" s="1">
        <v>45441</v>
      </c>
      <c r="C578" t="s">
        <v>1768</v>
      </c>
      <c r="D578" t="s">
        <v>44</v>
      </c>
      <c r="E578">
        <v>2</v>
      </c>
      <c r="F578">
        <v>69830</v>
      </c>
      <c r="G578" s="9">
        <v>0.3</v>
      </c>
      <c r="H578" t="s">
        <v>50</v>
      </c>
      <c r="I578" t="s">
        <v>1769</v>
      </c>
      <c r="J578" s="13" t="s">
        <v>73</v>
      </c>
      <c r="K578">
        <v>8</v>
      </c>
      <c r="L578" t="s">
        <v>33</v>
      </c>
      <c r="M578">
        <f>Table1[[#This Row],[UnitPrice]]*Table1[[#This Row],[Quantity]]</f>
        <v>139660</v>
      </c>
      <c r="N578">
        <f>Table1[[#This Row],[Total Price]]*Table1[[#This Row],[Discount]]</f>
        <v>41898</v>
      </c>
      <c r="O578">
        <f>Table1[[#This Row],[Total Price]]-Table1[[#This Row],[Discount Amount]]</f>
        <v>97762</v>
      </c>
    </row>
    <row r="579" spans="1:15" x14ac:dyDescent="0.3">
      <c r="A579" t="s">
        <v>1770</v>
      </c>
      <c r="B579" s="1">
        <v>44948</v>
      </c>
      <c r="C579" t="s">
        <v>1771</v>
      </c>
      <c r="D579" t="s">
        <v>25</v>
      </c>
      <c r="E579">
        <v>1</v>
      </c>
      <c r="F579">
        <v>16593</v>
      </c>
      <c r="G579" s="9">
        <v>0.26</v>
      </c>
      <c r="H579" t="s">
        <v>20</v>
      </c>
      <c r="I579" t="s">
        <v>1772</v>
      </c>
      <c r="J579" s="14" t="s">
        <v>73</v>
      </c>
      <c r="K579">
        <v>9</v>
      </c>
      <c r="L579" t="s">
        <v>60</v>
      </c>
      <c r="M579">
        <f>Table1[[#This Row],[UnitPrice]]*Table1[[#This Row],[Quantity]]</f>
        <v>16593</v>
      </c>
      <c r="N579">
        <f>Table1[[#This Row],[Total Price]]*Table1[[#This Row],[Discount]]</f>
        <v>4314.18</v>
      </c>
      <c r="O579">
        <f>Table1[[#This Row],[Total Price]]-Table1[[#This Row],[Discount Amount]]</f>
        <v>12278.82</v>
      </c>
    </row>
    <row r="580" spans="1:15" x14ac:dyDescent="0.3">
      <c r="A580" t="s">
        <v>1773</v>
      </c>
      <c r="B580" s="1">
        <v>45575</v>
      </c>
      <c r="C580" t="s">
        <v>1774</v>
      </c>
      <c r="D580" t="s">
        <v>12</v>
      </c>
      <c r="E580">
        <v>2</v>
      </c>
      <c r="F580">
        <v>4917</v>
      </c>
      <c r="G580" s="9">
        <v>0.37</v>
      </c>
      <c r="H580" t="s">
        <v>26</v>
      </c>
      <c r="I580" t="s">
        <v>1775</v>
      </c>
      <c r="J580" s="13" t="s">
        <v>37</v>
      </c>
      <c r="K580">
        <v>6</v>
      </c>
      <c r="L580" t="s">
        <v>16</v>
      </c>
      <c r="M580">
        <f>Table1[[#This Row],[UnitPrice]]*Table1[[#This Row],[Quantity]]</f>
        <v>9834</v>
      </c>
      <c r="N580">
        <f>Table1[[#This Row],[Total Price]]*Table1[[#This Row],[Discount]]</f>
        <v>3638.58</v>
      </c>
      <c r="O580">
        <f>Table1[[#This Row],[Total Price]]-Table1[[#This Row],[Discount Amount]]</f>
        <v>6195.42</v>
      </c>
    </row>
    <row r="581" spans="1:15" x14ac:dyDescent="0.3">
      <c r="A581" t="s">
        <v>1776</v>
      </c>
      <c r="B581" s="1">
        <v>45081</v>
      </c>
      <c r="C581" t="s">
        <v>1777</v>
      </c>
      <c r="D581" t="s">
        <v>25</v>
      </c>
      <c r="E581">
        <v>1</v>
      </c>
      <c r="F581">
        <v>7359</v>
      </c>
      <c r="G581" s="9">
        <v>0.42</v>
      </c>
      <c r="H581" t="s">
        <v>20</v>
      </c>
      <c r="I581" t="s">
        <v>1778</v>
      </c>
      <c r="J581" s="14" t="s">
        <v>14</v>
      </c>
      <c r="K581">
        <v>4</v>
      </c>
      <c r="L581" t="s">
        <v>33</v>
      </c>
      <c r="M581">
        <f>Table1[[#This Row],[UnitPrice]]*Table1[[#This Row],[Quantity]]</f>
        <v>7359</v>
      </c>
      <c r="N581">
        <f>Table1[[#This Row],[Total Price]]*Table1[[#This Row],[Discount]]</f>
        <v>3090.7799999999997</v>
      </c>
      <c r="O581">
        <f>Table1[[#This Row],[Total Price]]-Table1[[#This Row],[Discount Amount]]</f>
        <v>4268.22</v>
      </c>
    </row>
    <row r="582" spans="1:15" x14ac:dyDescent="0.3">
      <c r="A582" t="s">
        <v>1779</v>
      </c>
      <c r="B582" s="1">
        <v>45244</v>
      </c>
      <c r="C582" t="s">
        <v>1780</v>
      </c>
      <c r="D582" t="s">
        <v>12</v>
      </c>
      <c r="E582">
        <v>1</v>
      </c>
      <c r="F582">
        <v>5651</v>
      </c>
      <c r="G582" s="9">
        <v>0.5</v>
      </c>
      <c r="H582" t="s">
        <v>26</v>
      </c>
      <c r="I582" t="s">
        <v>1781</v>
      </c>
      <c r="J582" s="13" t="s">
        <v>37</v>
      </c>
      <c r="K582">
        <v>4</v>
      </c>
      <c r="L582" t="s">
        <v>16</v>
      </c>
      <c r="M582">
        <f>Table1[[#This Row],[UnitPrice]]*Table1[[#This Row],[Quantity]]</f>
        <v>5651</v>
      </c>
      <c r="N582">
        <f>Table1[[#This Row],[Total Price]]*Table1[[#This Row],[Discount]]</f>
        <v>2825.5</v>
      </c>
      <c r="O582">
        <f>Table1[[#This Row],[Total Price]]-Table1[[#This Row],[Discount Amount]]</f>
        <v>2825.5</v>
      </c>
    </row>
    <row r="583" spans="1:15" x14ac:dyDescent="0.3">
      <c r="A583" t="s">
        <v>1782</v>
      </c>
      <c r="B583" s="1">
        <v>45607</v>
      </c>
      <c r="C583" t="s">
        <v>1783</v>
      </c>
      <c r="D583" t="s">
        <v>44</v>
      </c>
      <c r="E583">
        <v>1</v>
      </c>
      <c r="F583">
        <v>40884</v>
      </c>
      <c r="G583" s="9">
        <v>0.23</v>
      </c>
      <c r="H583" t="s">
        <v>20</v>
      </c>
      <c r="I583" t="s">
        <v>1784</v>
      </c>
      <c r="J583" s="14" t="s">
        <v>37</v>
      </c>
      <c r="K583">
        <v>1</v>
      </c>
      <c r="L583" t="s">
        <v>22</v>
      </c>
      <c r="M583">
        <f>Table1[[#This Row],[UnitPrice]]*Table1[[#This Row],[Quantity]]</f>
        <v>40884</v>
      </c>
      <c r="N583">
        <f>Table1[[#This Row],[Total Price]]*Table1[[#This Row],[Discount]]</f>
        <v>9403.32</v>
      </c>
      <c r="O583">
        <f>Table1[[#This Row],[Total Price]]-Table1[[#This Row],[Discount Amount]]</f>
        <v>31480.68</v>
      </c>
    </row>
    <row r="584" spans="1:15" x14ac:dyDescent="0.3">
      <c r="A584" t="s">
        <v>1785</v>
      </c>
      <c r="B584" s="1">
        <v>45341</v>
      </c>
      <c r="C584" t="s">
        <v>1786</v>
      </c>
      <c r="D584" t="s">
        <v>25</v>
      </c>
      <c r="E584">
        <v>3</v>
      </c>
      <c r="F584">
        <v>2681</v>
      </c>
      <c r="G584" s="9">
        <v>0.5</v>
      </c>
      <c r="H584" t="s">
        <v>45</v>
      </c>
      <c r="I584" t="s">
        <v>1787</v>
      </c>
      <c r="J584" s="13" t="s">
        <v>14</v>
      </c>
      <c r="K584">
        <v>8</v>
      </c>
      <c r="L584" t="s">
        <v>60</v>
      </c>
      <c r="M584">
        <f>Table1[[#This Row],[UnitPrice]]*Table1[[#This Row],[Quantity]]</f>
        <v>8043</v>
      </c>
      <c r="N584">
        <f>Table1[[#This Row],[Total Price]]*Table1[[#This Row],[Discount]]</f>
        <v>4021.5</v>
      </c>
      <c r="O584">
        <f>Table1[[#This Row],[Total Price]]-Table1[[#This Row],[Discount Amount]]</f>
        <v>4021.5</v>
      </c>
    </row>
    <row r="585" spans="1:15" x14ac:dyDescent="0.3">
      <c r="A585" t="s">
        <v>1788</v>
      </c>
      <c r="B585" s="1">
        <v>45823</v>
      </c>
      <c r="C585" t="s">
        <v>1789</v>
      </c>
      <c r="D585" t="s">
        <v>31</v>
      </c>
      <c r="E585">
        <v>1</v>
      </c>
      <c r="F585">
        <v>40830</v>
      </c>
      <c r="G585" s="9">
        <v>0.37</v>
      </c>
      <c r="H585" t="s">
        <v>45</v>
      </c>
      <c r="I585" t="s">
        <v>1790</v>
      </c>
      <c r="J585" s="14" t="s">
        <v>37</v>
      </c>
      <c r="K585">
        <v>4</v>
      </c>
      <c r="L585" t="s">
        <v>16</v>
      </c>
      <c r="M585">
        <f>Table1[[#This Row],[UnitPrice]]*Table1[[#This Row],[Quantity]]</f>
        <v>40830</v>
      </c>
      <c r="N585">
        <f>Table1[[#This Row],[Total Price]]*Table1[[#This Row],[Discount]]</f>
        <v>15107.1</v>
      </c>
      <c r="O585">
        <f>Table1[[#This Row],[Total Price]]-Table1[[#This Row],[Discount Amount]]</f>
        <v>25722.9</v>
      </c>
    </row>
    <row r="586" spans="1:15" x14ac:dyDescent="0.3">
      <c r="A586" t="s">
        <v>1791</v>
      </c>
      <c r="B586" s="1">
        <v>45737</v>
      </c>
      <c r="C586" t="s">
        <v>1792</v>
      </c>
      <c r="D586" t="s">
        <v>31</v>
      </c>
      <c r="E586">
        <v>2</v>
      </c>
      <c r="F586">
        <v>20498</v>
      </c>
      <c r="G586" s="9">
        <v>0.33</v>
      </c>
      <c r="H586" t="s">
        <v>20</v>
      </c>
      <c r="I586" t="s">
        <v>1793</v>
      </c>
      <c r="J586" s="13" t="s">
        <v>37</v>
      </c>
      <c r="K586">
        <v>6</v>
      </c>
      <c r="L586" t="s">
        <v>60</v>
      </c>
      <c r="M586">
        <f>Table1[[#This Row],[UnitPrice]]*Table1[[#This Row],[Quantity]]</f>
        <v>40996</v>
      </c>
      <c r="N586">
        <f>Table1[[#This Row],[Total Price]]*Table1[[#This Row],[Discount]]</f>
        <v>13528.68</v>
      </c>
      <c r="O586">
        <f>Table1[[#This Row],[Total Price]]-Table1[[#This Row],[Discount Amount]]</f>
        <v>27467.32</v>
      </c>
    </row>
    <row r="587" spans="1:15" x14ac:dyDescent="0.3">
      <c r="A587" t="s">
        <v>1794</v>
      </c>
      <c r="B587" s="1">
        <v>45158</v>
      </c>
      <c r="C587" t="s">
        <v>1795</v>
      </c>
      <c r="D587" t="s">
        <v>25</v>
      </c>
      <c r="E587">
        <v>3</v>
      </c>
      <c r="F587">
        <v>11377</v>
      </c>
      <c r="G587" s="9">
        <v>0.32</v>
      </c>
      <c r="H587" t="s">
        <v>50</v>
      </c>
      <c r="I587" t="s">
        <v>1796</v>
      </c>
      <c r="J587" s="14" t="s">
        <v>14</v>
      </c>
      <c r="K587">
        <v>8</v>
      </c>
      <c r="L587" t="s">
        <v>60</v>
      </c>
      <c r="M587">
        <f>Table1[[#This Row],[UnitPrice]]*Table1[[#This Row],[Quantity]]</f>
        <v>34131</v>
      </c>
      <c r="N587">
        <f>Table1[[#This Row],[Total Price]]*Table1[[#This Row],[Discount]]</f>
        <v>10921.92</v>
      </c>
      <c r="O587">
        <f>Table1[[#This Row],[Total Price]]-Table1[[#This Row],[Discount Amount]]</f>
        <v>23209.08</v>
      </c>
    </row>
    <row r="588" spans="1:15" x14ac:dyDescent="0.3">
      <c r="A588" t="s">
        <v>1797</v>
      </c>
      <c r="B588" s="1">
        <v>45606</v>
      </c>
      <c r="C588" t="s">
        <v>1798</v>
      </c>
      <c r="D588" t="s">
        <v>12</v>
      </c>
      <c r="E588">
        <v>1</v>
      </c>
      <c r="F588">
        <v>1509</v>
      </c>
      <c r="G588" s="9">
        <v>0.46</v>
      </c>
      <c r="H588" t="s">
        <v>45</v>
      </c>
      <c r="I588" t="s">
        <v>1799</v>
      </c>
      <c r="J588" s="13" t="s">
        <v>14</v>
      </c>
      <c r="K588">
        <v>5</v>
      </c>
      <c r="L588" t="s">
        <v>22</v>
      </c>
      <c r="M588">
        <f>Table1[[#This Row],[UnitPrice]]*Table1[[#This Row],[Quantity]]</f>
        <v>1509</v>
      </c>
      <c r="N588">
        <f>Table1[[#This Row],[Total Price]]*Table1[[#This Row],[Discount]]</f>
        <v>694.14</v>
      </c>
      <c r="O588">
        <f>Table1[[#This Row],[Total Price]]-Table1[[#This Row],[Discount Amount]]</f>
        <v>814.86</v>
      </c>
    </row>
    <row r="589" spans="1:15" x14ac:dyDescent="0.3">
      <c r="A589" t="s">
        <v>1800</v>
      </c>
      <c r="B589" s="1">
        <v>45089</v>
      </c>
      <c r="C589" t="s">
        <v>1801</v>
      </c>
      <c r="D589" t="s">
        <v>12</v>
      </c>
      <c r="E589">
        <v>2</v>
      </c>
      <c r="F589">
        <v>6700</v>
      </c>
      <c r="G589" s="9">
        <v>0.47</v>
      </c>
      <c r="H589" t="s">
        <v>45</v>
      </c>
      <c r="I589" t="s">
        <v>1802</v>
      </c>
      <c r="J589" s="14" t="s">
        <v>37</v>
      </c>
      <c r="K589">
        <v>10</v>
      </c>
      <c r="L589" t="s">
        <v>16</v>
      </c>
      <c r="M589">
        <f>Table1[[#This Row],[UnitPrice]]*Table1[[#This Row],[Quantity]]</f>
        <v>13400</v>
      </c>
      <c r="N589">
        <f>Table1[[#This Row],[Total Price]]*Table1[[#This Row],[Discount]]</f>
        <v>6298</v>
      </c>
      <c r="O589">
        <f>Table1[[#This Row],[Total Price]]-Table1[[#This Row],[Discount Amount]]</f>
        <v>7102</v>
      </c>
    </row>
    <row r="590" spans="1:15" x14ac:dyDescent="0.3">
      <c r="A590" t="s">
        <v>1803</v>
      </c>
      <c r="B590" s="1">
        <v>45636</v>
      </c>
      <c r="C590" t="s">
        <v>1804</v>
      </c>
      <c r="D590" t="s">
        <v>12</v>
      </c>
      <c r="E590">
        <v>3</v>
      </c>
      <c r="F590">
        <v>7226</v>
      </c>
      <c r="G590" s="9">
        <v>0.09</v>
      </c>
      <c r="H590" t="s">
        <v>26</v>
      </c>
      <c r="I590" t="s">
        <v>1805</v>
      </c>
      <c r="J590" s="13" t="s">
        <v>37</v>
      </c>
      <c r="K590">
        <v>9</v>
      </c>
      <c r="L590" t="s">
        <v>60</v>
      </c>
      <c r="M590">
        <f>Table1[[#This Row],[UnitPrice]]*Table1[[#This Row],[Quantity]]</f>
        <v>21678</v>
      </c>
      <c r="N590">
        <f>Table1[[#This Row],[Total Price]]*Table1[[#This Row],[Discount]]</f>
        <v>1951.02</v>
      </c>
      <c r="O590">
        <f>Table1[[#This Row],[Total Price]]-Table1[[#This Row],[Discount Amount]]</f>
        <v>19726.98</v>
      </c>
    </row>
    <row r="591" spans="1:15" x14ac:dyDescent="0.3">
      <c r="A591" t="s">
        <v>1806</v>
      </c>
      <c r="B591" s="1">
        <v>45698</v>
      </c>
      <c r="C591" t="s">
        <v>1807</v>
      </c>
      <c r="D591" t="s">
        <v>44</v>
      </c>
      <c r="E591">
        <v>2</v>
      </c>
      <c r="F591">
        <v>21704</v>
      </c>
      <c r="G591" s="9">
        <v>0.25</v>
      </c>
      <c r="H591" t="s">
        <v>50</v>
      </c>
      <c r="I591" t="s">
        <v>1808</v>
      </c>
      <c r="J591" s="14" t="s">
        <v>37</v>
      </c>
      <c r="K591">
        <v>3</v>
      </c>
      <c r="L591" t="s">
        <v>22</v>
      </c>
      <c r="M591">
        <f>Table1[[#This Row],[UnitPrice]]*Table1[[#This Row],[Quantity]]</f>
        <v>43408</v>
      </c>
      <c r="N591">
        <f>Table1[[#This Row],[Total Price]]*Table1[[#This Row],[Discount]]</f>
        <v>10852</v>
      </c>
      <c r="O591">
        <f>Table1[[#This Row],[Total Price]]-Table1[[#This Row],[Discount Amount]]</f>
        <v>32556</v>
      </c>
    </row>
    <row r="592" spans="1:15" x14ac:dyDescent="0.3">
      <c r="A592" t="s">
        <v>1809</v>
      </c>
      <c r="B592" s="1">
        <v>45179</v>
      </c>
      <c r="C592" t="s">
        <v>1810</v>
      </c>
      <c r="D592" t="s">
        <v>36</v>
      </c>
      <c r="E592">
        <v>2</v>
      </c>
      <c r="F592">
        <v>8168</v>
      </c>
      <c r="G592" s="9">
        <v>0.47</v>
      </c>
      <c r="H592" t="s">
        <v>45</v>
      </c>
      <c r="I592" t="s">
        <v>1811</v>
      </c>
      <c r="J592" s="13" t="s">
        <v>37</v>
      </c>
      <c r="K592">
        <v>4</v>
      </c>
      <c r="L592" t="s">
        <v>28</v>
      </c>
      <c r="M592">
        <f>Table1[[#This Row],[UnitPrice]]*Table1[[#This Row],[Quantity]]</f>
        <v>16336</v>
      </c>
      <c r="N592">
        <f>Table1[[#This Row],[Total Price]]*Table1[[#This Row],[Discount]]</f>
        <v>7677.9199999999992</v>
      </c>
      <c r="O592">
        <f>Table1[[#This Row],[Total Price]]-Table1[[#This Row],[Discount Amount]]</f>
        <v>8658.0800000000017</v>
      </c>
    </row>
    <row r="593" spans="1:15" x14ac:dyDescent="0.3">
      <c r="A593" t="s">
        <v>1812</v>
      </c>
      <c r="B593" s="1">
        <v>45614</v>
      </c>
      <c r="C593" t="s">
        <v>1813</v>
      </c>
      <c r="D593" t="s">
        <v>44</v>
      </c>
      <c r="E593">
        <v>2</v>
      </c>
      <c r="F593">
        <v>74689</v>
      </c>
      <c r="G593" s="9">
        <v>0.19</v>
      </c>
      <c r="H593" t="s">
        <v>45</v>
      </c>
      <c r="I593" t="s">
        <v>1814</v>
      </c>
      <c r="J593" s="14" t="s">
        <v>14</v>
      </c>
      <c r="K593">
        <v>3</v>
      </c>
      <c r="L593" t="s">
        <v>22</v>
      </c>
      <c r="M593">
        <f>Table1[[#This Row],[UnitPrice]]*Table1[[#This Row],[Quantity]]</f>
        <v>149378</v>
      </c>
      <c r="N593">
        <f>Table1[[#This Row],[Total Price]]*Table1[[#This Row],[Discount]]</f>
        <v>28381.82</v>
      </c>
      <c r="O593">
        <f>Table1[[#This Row],[Total Price]]-Table1[[#This Row],[Discount Amount]]</f>
        <v>120996.18</v>
      </c>
    </row>
    <row r="594" spans="1:15" x14ac:dyDescent="0.3">
      <c r="A594" t="s">
        <v>1815</v>
      </c>
      <c r="B594" s="1">
        <v>45405</v>
      </c>
      <c r="C594" t="s">
        <v>1816</v>
      </c>
      <c r="D594" t="s">
        <v>19</v>
      </c>
      <c r="E594">
        <v>3</v>
      </c>
      <c r="F594">
        <v>24846</v>
      </c>
      <c r="G594" s="9">
        <v>0.12</v>
      </c>
      <c r="H594" t="s">
        <v>20</v>
      </c>
      <c r="I594" t="s">
        <v>1817</v>
      </c>
      <c r="J594" s="13" t="s">
        <v>73</v>
      </c>
      <c r="K594">
        <v>4</v>
      </c>
      <c r="L594" t="s">
        <v>60</v>
      </c>
      <c r="M594">
        <f>Table1[[#This Row],[UnitPrice]]*Table1[[#This Row],[Quantity]]</f>
        <v>74538</v>
      </c>
      <c r="N594">
        <f>Table1[[#This Row],[Total Price]]*Table1[[#This Row],[Discount]]</f>
        <v>8944.56</v>
      </c>
      <c r="O594">
        <f>Table1[[#This Row],[Total Price]]-Table1[[#This Row],[Discount Amount]]</f>
        <v>65593.440000000002</v>
      </c>
    </row>
    <row r="595" spans="1:15" x14ac:dyDescent="0.3">
      <c r="A595" t="s">
        <v>1818</v>
      </c>
      <c r="B595" s="1">
        <v>45140</v>
      </c>
      <c r="C595" t="s">
        <v>1819</v>
      </c>
      <c r="D595" t="s">
        <v>12</v>
      </c>
      <c r="E595">
        <v>3</v>
      </c>
      <c r="F595">
        <v>9108</v>
      </c>
      <c r="G595" s="9">
        <v>0.05</v>
      </c>
      <c r="H595" t="s">
        <v>45</v>
      </c>
      <c r="I595" t="s">
        <v>1820</v>
      </c>
      <c r="J595" s="14" t="s">
        <v>14</v>
      </c>
      <c r="K595">
        <v>4</v>
      </c>
      <c r="L595" t="s">
        <v>33</v>
      </c>
      <c r="M595">
        <f>Table1[[#This Row],[UnitPrice]]*Table1[[#This Row],[Quantity]]</f>
        <v>27324</v>
      </c>
      <c r="N595">
        <f>Table1[[#This Row],[Total Price]]*Table1[[#This Row],[Discount]]</f>
        <v>1366.2</v>
      </c>
      <c r="O595">
        <f>Table1[[#This Row],[Total Price]]-Table1[[#This Row],[Discount Amount]]</f>
        <v>25957.8</v>
      </c>
    </row>
    <row r="596" spans="1:15" x14ac:dyDescent="0.3">
      <c r="A596" t="s">
        <v>1821</v>
      </c>
      <c r="B596" s="1">
        <v>45343</v>
      </c>
      <c r="C596" t="s">
        <v>1822</v>
      </c>
      <c r="D596" t="s">
        <v>19</v>
      </c>
      <c r="E596">
        <v>1</v>
      </c>
      <c r="F596">
        <v>33516</v>
      </c>
      <c r="G596" s="9">
        <v>0.3</v>
      </c>
      <c r="H596" t="s">
        <v>26</v>
      </c>
      <c r="I596" t="s">
        <v>1823</v>
      </c>
      <c r="J596" s="13" t="s">
        <v>14</v>
      </c>
      <c r="K596">
        <v>7</v>
      </c>
      <c r="L596" t="s">
        <v>28</v>
      </c>
      <c r="M596">
        <f>Table1[[#This Row],[UnitPrice]]*Table1[[#This Row],[Quantity]]</f>
        <v>33516</v>
      </c>
      <c r="N596">
        <f>Table1[[#This Row],[Total Price]]*Table1[[#This Row],[Discount]]</f>
        <v>10054.799999999999</v>
      </c>
      <c r="O596">
        <f>Table1[[#This Row],[Total Price]]-Table1[[#This Row],[Discount Amount]]</f>
        <v>23461.200000000001</v>
      </c>
    </row>
    <row r="597" spans="1:15" x14ac:dyDescent="0.3">
      <c r="A597" t="s">
        <v>1824</v>
      </c>
      <c r="B597" s="1">
        <v>45667</v>
      </c>
      <c r="C597" t="s">
        <v>1825</v>
      </c>
      <c r="D597" t="s">
        <v>36</v>
      </c>
      <c r="E597">
        <v>3</v>
      </c>
      <c r="F597">
        <v>6359</v>
      </c>
      <c r="G597" s="9">
        <v>0.35</v>
      </c>
      <c r="H597" t="s">
        <v>20</v>
      </c>
      <c r="I597" t="s">
        <v>1826</v>
      </c>
      <c r="J597" s="14" t="s">
        <v>73</v>
      </c>
      <c r="K597">
        <v>7</v>
      </c>
      <c r="L597" t="s">
        <v>28</v>
      </c>
      <c r="M597">
        <f>Table1[[#This Row],[UnitPrice]]*Table1[[#This Row],[Quantity]]</f>
        <v>19077</v>
      </c>
      <c r="N597">
        <f>Table1[[#This Row],[Total Price]]*Table1[[#This Row],[Discount]]</f>
        <v>6676.95</v>
      </c>
      <c r="O597">
        <f>Table1[[#This Row],[Total Price]]-Table1[[#This Row],[Discount Amount]]</f>
        <v>12400.05</v>
      </c>
    </row>
    <row r="598" spans="1:15" x14ac:dyDescent="0.3">
      <c r="A598" t="s">
        <v>1827</v>
      </c>
      <c r="B598" s="1">
        <v>45089</v>
      </c>
      <c r="C598" t="s">
        <v>1828</v>
      </c>
      <c r="D598" t="s">
        <v>58</v>
      </c>
      <c r="E598">
        <v>1</v>
      </c>
      <c r="F598">
        <v>4958</v>
      </c>
      <c r="G598" s="9">
        <v>0.1</v>
      </c>
      <c r="H598" t="s">
        <v>13</v>
      </c>
      <c r="I598" t="s">
        <v>1829</v>
      </c>
      <c r="J598" s="13" t="s">
        <v>37</v>
      </c>
      <c r="K598">
        <v>7</v>
      </c>
      <c r="L598" t="s">
        <v>33</v>
      </c>
      <c r="M598">
        <f>Table1[[#This Row],[UnitPrice]]*Table1[[#This Row],[Quantity]]</f>
        <v>4958</v>
      </c>
      <c r="N598">
        <f>Table1[[#This Row],[Total Price]]*Table1[[#This Row],[Discount]]</f>
        <v>495.8</v>
      </c>
      <c r="O598">
        <f>Table1[[#This Row],[Total Price]]-Table1[[#This Row],[Discount Amount]]</f>
        <v>4462.2</v>
      </c>
    </row>
    <row r="599" spans="1:15" x14ac:dyDescent="0.3">
      <c r="A599" t="s">
        <v>1830</v>
      </c>
      <c r="B599" s="1">
        <v>45621</v>
      </c>
      <c r="C599" t="s">
        <v>1831</v>
      </c>
      <c r="D599" t="s">
        <v>58</v>
      </c>
      <c r="E599">
        <v>3</v>
      </c>
      <c r="F599">
        <v>2139</v>
      </c>
      <c r="G599" s="9">
        <v>0.34</v>
      </c>
      <c r="H599" t="s">
        <v>45</v>
      </c>
      <c r="I599" t="s">
        <v>1832</v>
      </c>
      <c r="J599" s="14" t="s">
        <v>37</v>
      </c>
      <c r="K599">
        <v>4</v>
      </c>
      <c r="L599" t="s">
        <v>28</v>
      </c>
      <c r="M599">
        <f>Table1[[#This Row],[UnitPrice]]*Table1[[#This Row],[Quantity]]</f>
        <v>6417</v>
      </c>
      <c r="N599">
        <f>Table1[[#This Row],[Total Price]]*Table1[[#This Row],[Discount]]</f>
        <v>2181.7800000000002</v>
      </c>
      <c r="O599">
        <f>Table1[[#This Row],[Total Price]]-Table1[[#This Row],[Discount Amount]]</f>
        <v>4235.2199999999993</v>
      </c>
    </row>
    <row r="600" spans="1:15" x14ac:dyDescent="0.3">
      <c r="A600" t="s">
        <v>1833</v>
      </c>
      <c r="B600" s="1">
        <v>45408</v>
      </c>
      <c r="C600" t="s">
        <v>1834</v>
      </c>
      <c r="D600" t="s">
        <v>58</v>
      </c>
      <c r="E600">
        <v>3</v>
      </c>
      <c r="F600">
        <v>7401</v>
      </c>
      <c r="G600" s="9">
        <v>0.45</v>
      </c>
      <c r="H600" t="s">
        <v>26</v>
      </c>
      <c r="I600" t="s">
        <v>1835</v>
      </c>
      <c r="J600" s="13" t="s">
        <v>73</v>
      </c>
      <c r="K600">
        <v>5</v>
      </c>
      <c r="L600" t="s">
        <v>33</v>
      </c>
      <c r="M600">
        <f>Table1[[#This Row],[UnitPrice]]*Table1[[#This Row],[Quantity]]</f>
        <v>22203</v>
      </c>
      <c r="N600">
        <f>Table1[[#This Row],[Total Price]]*Table1[[#This Row],[Discount]]</f>
        <v>9991.35</v>
      </c>
      <c r="O600">
        <f>Table1[[#This Row],[Total Price]]-Table1[[#This Row],[Discount Amount]]</f>
        <v>12211.65</v>
      </c>
    </row>
    <row r="601" spans="1:15" x14ac:dyDescent="0.3">
      <c r="A601" t="s">
        <v>1836</v>
      </c>
      <c r="B601" s="1">
        <v>45107</v>
      </c>
      <c r="C601" t="s">
        <v>1837</v>
      </c>
      <c r="D601" t="s">
        <v>31</v>
      </c>
      <c r="E601">
        <v>1</v>
      </c>
      <c r="F601">
        <v>43431</v>
      </c>
      <c r="G601" s="9">
        <v>0.12</v>
      </c>
      <c r="H601" t="s">
        <v>20</v>
      </c>
      <c r="I601" t="s">
        <v>1838</v>
      </c>
      <c r="J601" s="14" t="s">
        <v>37</v>
      </c>
      <c r="K601">
        <v>4</v>
      </c>
      <c r="L601" t="s">
        <v>33</v>
      </c>
      <c r="M601">
        <f>Table1[[#This Row],[UnitPrice]]*Table1[[#This Row],[Quantity]]</f>
        <v>43431</v>
      </c>
      <c r="N601">
        <f>Table1[[#This Row],[Total Price]]*Table1[[#This Row],[Discount]]</f>
        <v>5211.72</v>
      </c>
      <c r="O601">
        <f>Table1[[#This Row],[Total Price]]-Table1[[#This Row],[Discount Amount]]</f>
        <v>38219.279999999999</v>
      </c>
    </row>
    <row r="602" spans="1:15" x14ac:dyDescent="0.3">
      <c r="A602" t="s">
        <v>1839</v>
      </c>
      <c r="B602" s="1">
        <v>45072</v>
      </c>
      <c r="C602" t="s">
        <v>1840</v>
      </c>
      <c r="D602" t="s">
        <v>36</v>
      </c>
      <c r="E602">
        <v>3</v>
      </c>
      <c r="F602">
        <v>6930</v>
      </c>
      <c r="G602" s="9">
        <v>0.06</v>
      </c>
      <c r="H602" t="s">
        <v>45</v>
      </c>
      <c r="I602" t="s">
        <v>1841</v>
      </c>
      <c r="J602" s="13" t="s">
        <v>37</v>
      </c>
      <c r="K602">
        <v>1</v>
      </c>
      <c r="L602" t="s">
        <v>33</v>
      </c>
      <c r="M602">
        <f>Table1[[#This Row],[UnitPrice]]*Table1[[#This Row],[Quantity]]</f>
        <v>20790</v>
      </c>
      <c r="N602">
        <f>Table1[[#This Row],[Total Price]]*Table1[[#This Row],[Discount]]</f>
        <v>1247.3999999999999</v>
      </c>
      <c r="O602">
        <f>Table1[[#This Row],[Total Price]]-Table1[[#This Row],[Discount Amount]]</f>
        <v>19542.599999999999</v>
      </c>
    </row>
    <row r="603" spans="1:15" x14ac:dyDescent="0.3">
      <c r="A603" t="s">
        <v>1842</v>
      </c>
      <c r="B603" s="1">
        <v>45201</v>
      </c>
      <c r="C603" t="s">
        <v>1843</v>
      </c>
      <c r="D603" t="s">
        <v>12</v>
      </c>
      <c r="E603">
        <v>2</v>
      </c>
      <c r="F603">
        <v>5027</v>
      </c>
      <c r="G603" s="9">
        <v>0.42</v>
      </c>
      <c r="H603" t="s">
        <v>26</v>
      </c>
      <c r="I603" t="s">
        <v>1844</v>
      </c>
      <c r="J603" s="14" t="s">
        <v>14</v>
      </c>
      <c r="K603">
        <v>10</v>
      </c>
      <c r="L603" t="s">
        <v>22</v>
      </c>
      <c r="M603">
        <f>Table1[[#This Row],[UnitPrice]]*Table1[[#This Row],[Quantity]]</f>
        <v>10054</v>
      </c>
      <c r="N603">
        <f>Table1[[#This Row],[Total Price]]*Table1[[#This Row],[Discount]]</f>
        <v>4222.68</v>
      </c>
      <c r="O603">
        <f>Table1[[#This Row],[Total Price]]-Table1[[#This Row],[Discount Amount]]</f>
        <v>5831.32</v>
      </c>
    </row>
    <row r="604" spans="1:15" x14ac:dyDescent="0.3">
      <c r="A604" t="s">
        <v>1845</v>
      </c>
      <c r="B604" s="1">
        <v>45356</v>
      </c>
      <c r="C604" t="s">
        <v>1486</v>
      </c>
      <c r="D604" t="s">
        <v>25</v>
      </c>
      <c r="E604">
        <v>1</v>
      </c>
      <c r="F604">
        <v>4903</v>
      </c>
      <c r="G604" s="9">
        <v>0.46</v>
      </c>
      <c r="H604" t="s">
        <v>20</v>
      </c>
      <c r="I604" t="s">
        <v>1846</v>
      </c>
      <c r="J604" s="13" t="s">
        <v>73</v>
      </c>
      <c r="K604">
        <v>5</v>
      </c>
      <c r="L604" t="s">
        <v>16</v>
      </c>
      <c r="M604">
        <f>Table1[[#This Row],[UnitPrice]]*Table1[[#This Row],[Quantity]]</f>
        <v>4903</v>
      </c>
      <c r="N604">
        <f>Table1[[#This Row],[Total Price]]*Table1[[#This Row],[Discount]]</f>
        <v>2255.38</v>
      </c>
      <c r="O604">
        <f>Table1[[#This Row],[Total Price]]-Table1[[#This Row],[Discount Amount]]</f>
        <v>2647.62</v>
      </c>
    </row>
    <row r="605" spans="1:15" x14ac:dyDescent="0.3">
      <c r="A605" t="s">
        <v>1847</v>
      </c>
      <c r="B605" s="1">
        <v>45569</v>
      </c>
      <c r="C605" t="s">
        <v>1848</v>
      </c>
      <c r="D605" t="s">
        <v>25</v>
      </c>
      <c r="E605">
        <v>3</v>
      </c>
      <c r="F605">
        <v>2806</v>
      </c>
      <c r="G605" s="9">
        <v>0.11</v>
      </c>
      <c r="H605" t="s">
        <v>50</v>
      </c>
      <c r="I605" t="s">
        <v>1849</v>
      </c>
      <c r="J605" s="14" t="s">
        <v>73</v>
      </c>
      <c r="K605">
        <v>4</v>
      </c>
      <c r="L605" t="s">
        <v>60</v>
      </c>
      <c r="M605">
        <f>Table1[[#This Row],[UnitPrice]]*Table1[[#This Row],[Quantity]]</f>
        <v>8418</v>
      </c>
      <c r="N605">
        <f>Table1[[#This Row],[Total Price]]*Table1[[#This Row],[Discount]]</f>
        <v>925.98</v>
      </c>
      <c r="O605">
        <f>Table1[[#This Row],[Total Price]]-Table1[[#This Row],[Discount Amount]]</f>
        <v>7492.02</v>
      </c>
    </row>
    <row r="606" spans="1:15" x14ac:dyDescent="0.3">
      <c r="A606" t="s">
        <v>1850</v>
      </c>
      <c r="B606" s="1">
        <v>45830</v>
      </c>
      <c r="C606" t="s">
        <v>1851</v>
      </c>
      <c r="D606" t="s">
        <v>31</v>
      </c>
      <c r="E606">
        <v>3</v>
      </c>
      <c r="F606">
        <v>15745</v>
      </c>
      <c r="G606" s="9">
        <v>0.36</v>
      </c>
      <c r="H606" t="s">
        <v>13</v>
      </c>
      <c r="I606" t="s">
        <v>1852</v>
      </c>
      <c r="J606" s="13" t="s">
        <v>37</v>
      </c>
      <c r="K606">
        <v>6</v>
      </c>
      <c r="L606" t="s">
        <v>33</v>
      </c>
      <c r="M606">
        <f>Table1[[#This Row],[UnitPrice]]*Table1[[#This Row],[Quantity]]</f>
        <v>47235</v>
      </c>
      <c r="N606">
        <f>Table1[[#This Row],[Total Price]]*Table1[[#This Row],[Discount]]</f>
        <v>17004.599999999999</v>
      </c>
      <c r="O606">
        <f>Table1[[#This Row],[Total Price]]-Table1[[#This Row],[Discount Amount]]</f>
        <v>30230.400000000001</v>
      </c>
    </row>
    <row r="607" spans="1:15" x14ac:dyDescent="0.3">
      <c r="A607" t="s">
        <v>1853</v>
      </c>
      <c r="B607" s="1">
        <v>45422</v>
      </c>
      <c r="C607" t="s">
        <v>1854</v>
      </c>
      <c r="D607" t="s">
        <v>12</v>
      </c>
      <c r="E607">
        <v>3</v>
      </c>
      <c r="F607">
        <v>5763</v>
      </c>
      <c r="G607" s="9">
        <v>0.3</v>
      </c>
      <c r="H607" t="s">
        <v>13</v>
      </c>
      <c r="I607" t="s">
        <v>1855</v>
      </c>
      <c r="J607" s="14" t="s">
        <v>14</v>
      </c>
      <c r="K607">
        <v>4</v>
      </c>
      <c r="L607" t="s">
        <v>22</v>
      </c>
      <c r="M607">
        <f>Table1[[#This Row],[UnitPrice]]*Table1[[#This Row],[Quantity]]</f>
        <v>17289</v>
      </c>
      <c r="N607">
        <f>Table1[[#This Row],[Total Price]]*Table1[[#This Row],[Discount]]</f>
        <v>5186.7</v>
      </c>
      <c r="O607">
        <f>Table1[[#This Row],[Total Price]]-Table1[[#This Row],[Discount Amount]]</f>
        <v>12102.3</v>
      </c>
    </row>
    <row r="608" spans="1:15" x14ac:dyDescent="0.3">
      <c r="A608" t="s">
        <v>1856</v>
      </c>
      <c r="B608" s="1">
        <v>45602</v>
      </c>
      <c r="C608" t="s">
        <v>1857</v>
      </c>
      <c r="D608" t="s">
        <v>44</v>
      </c>
      <c r="E608">
        <v>1</v>
      </c>
      <c r="F608">
        <v>44510</v>
      </c>
      <c r="G608" s="9">
        <v>0.12</v>
      </c>
      <c r="H608" t="s">
        <v>50</v>
      </c>
      <c r="I608" t="s">
        <v>1858</v>
      </c>
      <c r="J608" s="13" t="s">
        <v>73</v>
      </c>
      <c r="K608">
        <v>3</v>
      </c>
      <c r="L608" t="s">
        <v>60</v>
      </c>
      <c r="M608">
        <f>Table1[[#This Row],[UnitPrice]]*Table1[[#This Row],[Quantity]]</f>
        <v>44510</v>
      </c>
      <c r="N608">
        <f>Table1[[#This Row],[Total Price]]*Table1[[#This Row],[Discount]]</f>
        <v>5341.2</v>
      </c>
      <c r="O608">
        <f>Table1[[#This Row],[Total Price]]-Table1[[#This Row],[Discount Amount]]</f>
        <v>39168.800000000003</v>
      </c>
    </row>
    <row r="609" spans="1:15" x14ac:dyDescent="0.3">
      <c r="A609" t="s">
        <v>1859</v>
      </c>
      <c r="B609" s="1">
        <v>45808</v>
      </c>
      <c r="C609" t="s">
        <v>1860</v>
      </c>
      <c r="D609" t="s">
        <v>36</v>
      </c>
      <c r="E609">
        <v>1</v>
      </c>
      <c r="F609">
        <v>5231</v>
      </c>
      <c r="G609" s="9">
        <v>0.41</v>
      </c>
      <c r="H609" t="s">
        <v>50</v>
      </c>
      <c r="I609" t="s">
        <v>1861</v>
      </c>
      <c r="J609" s="14" t="s">
        <v>14</v>
      </c>
      <c r="K609">
        <v>6</v>
      </c>
      <c r="L609" t="s">
        <v>60</v>
      </c>
      <c r="M609">
        <f>Table1[[#This Row],[UnitPrice]]*Table1[[#This Row],[Quantity]]</f>
        <v>5231</v>
      </c>
      <c r="N609">
        <f>Table1[[#This Row],[Total Price]]*Table1[[#This Row],[Discount]]</f>
        <v>2144.71</v>
      </c>
      <c r="O609">
        <f>Table1[[#This Row],[Total Price]]-Table1[[#This Row],[Discount Amount]]</f>
        <v>3086.29</v>
      </c>
    </row>
    <row r="610" spans="1:15" x14ac:dyDescent="0.3">
      <c r="A610" t="s">
        <v>1862</v>
      </c>
      <c r="B610" s="1">
        <v>45497</v>
      </c>
      <c r="C610" t="s">
        <v>1863</v>
      </c>
      <c r="D610" t="s">
        <v>44</v>
      </c>
      <c r="E610">
        <v>3</v>
      </c>
      <c r="F610">
        <v>74203</v>
      </c>
      <c r="G610" s="9">
        <v>0.24</v>
      </c>
      <c r="H610" t="s">
        <v>20</v>
      </c>
      <c r="I610" t="s">
        <v>1864</v>
      </c>
      <c r="J610" s="13" t="s">
        <v>37</v>
      </c>
      <c r="K610">
        <v>6</v>
      </c>
      <c r="L610" t="s">
        <v>16</v>
      </c>
      <c r="M610">
        <f>Table1[[#This Row],[UnitPrice]]*Table1[[#This Row],[Quantity]]</f>
        <v>222609</v>
      </c>
      <c r="N610">
        <f>Table1[[#This Row],[Total Price]]*Table1[[#This Row],[Discount]]</f>
        <v>53426.159999999996</v>
      </c>
      <c r="O610">
        <f>Table1[[#This Row],[Total Price]]-Table1[[#This Row],[Discount Amount]]</f>
        <v>169182.84</v>
      </c>
    </row>
    <row r="611" spans="1:15" x14ac:dyDescent="0.3">
      <c r="A611" t="s">
        <v>1865</v>
      </c>
      <c r="B611" s="1">
        <v>45684</v>
      </c>
      <c r="C611" t="s">
        <v>1866</v>
      </c>
      <c r="D611" t="s">
        <v>31</v>
      </c>
      <c r="E611">
        <v>2</v>
      </c>
      <c r="F611">
        <v>36039</v>
      </c>
      <c r="G611" s="9">
        <v>0.35</v>
      </c>
      <c r="H611" t="s">
        <v>50</v>
      </c>
      <c r="I611" t="s">
        <v>1867</v>
      </c>
      <c r="J611" s="14" t="s">
        <v>73</v>
      </c>
      <c r="K611">
        <v>5</v>
      </c>
      <c r="L611" t="s">
        <v>22</v>
      </c>
      <c r="M611">
        <f>Table1[[#This Row],[UnitPrice]]*Table1[[#This Row],[Quantity]]</f>
        <v>72078</v>
      </c>
      <c r="N611">
        <f>Table1[[#This Row],[Total Price]]*Table1[[#This Row],[Discount]]</f>
        <v>25227.3</v>
      </c>
      <c r="O611">
        <f>Table1[[#This Row],[Total Price]]-Table1[[#This Row],[Discount Amount]]</f>
        <v>46850.7</v>
      </c>
    </row>
    <row r="612" spans="1:15" x14ac:dyDescent="0.3">
      <c r="A612" t="s">
        <v>1868</v>
      </c>
      <c r="B612" s="1">
        <v>45459</v>
      </c>
      <c r="C612" t="s">
        <v>1869</v>
      </c>
      <c r="D612" t="s">
        <v>58</v>
      </c>
      <c r="E612">
        <v>3</v>
      </c>
      <c r="F612">
        <v>2151</v>
      </c>
      <c r="G612" s="9">
        <v>0.15</v>
      </c>
      <c r="H612" t="s">
        <v>50</v>
      </c>
      <c r="I612" t="s">
        <v>1870</v>
      </c>
      <c r="J612" s="13" t="s">
        <v>73</v>
      </c>
      <c r="K612">
        <v>7</v>
      </c>
      <c r="L612" t="s">
        <v>33</v>
      </c>
      <c r="M612">
        <f>Table1[[#This Row],[UnitPrice]]*Table1[[#This Row],[Quantity]]</f>
        <v>6453</v>
      </c>
      <c r="N612">
        <f>Table1[[#This Row],[Total Price]]*Table1[[#This Row],[Discount]]</f>
        <v>967.94999999999993</v>
      </c>
      <c r="O612">
        <f>Table1[[#This Row],[Total Price]]-Table1[[#This Row],[Discount Amount]]</f>
        <v>5485.05</v>
      </c>
    </row>
    <row r="613" spans="1:15" x14ac:dyDescent="0.3">
      <c r="A613" t="s">
        <v>1871</v>
      </c>
      <c r="B613" s="1">
        <v>45037</v>
      </c>
      <c r="C613" t="s">
        <v>1872</v>
      </c>
      <c r="D613" t="s">
        <v>58</v>
      </c>
      <c r="E613">
        <v>1</v>
      </c>
      <c r="F613">
        <v>6246</v>
      </c>
      <c r="G613" s="9">
        <v>0.41</v>
      </c>
      <c r="H613" t="s">
        <v>45</v>
      </c>
      <c r="I613" t="s">
        <v>1873</v>
      </c>
      <c r="J613" s="14" t="s">
        <v>37</v>
      </c>
      <c r="K613">
        <v>3</v>
      </c>
      <c r="L613" t="s">
        <v>22</v>
      </c>
      <c r="M613">
        <f>Table1[[#This Row],[UnitPrice]]*Table1[[#This Row],[Quantity]]</f>
        <v>6246</v>
      </c>
      <c r="N613">
        <f>Table1[[#This Row],[Total Price]]*Table1[[#This Row],[Discount]]</f>
        <v>2560.8599999999997</v>
      </c>
      <c r="O613">
        <f>Table1[[#This Row],[Total Price]]-Table1[[#This Row],[Discount Amount]]</f>
        <v>3685.1400000000003</v>
      </c>
    </row>
    <row r="614" spans="1:15" x14ac:dyDescent="0.3">
      <c r="A614" t="s">
        <v>1874</v>
      </c>
      <c r="B614" s="1">
        <v>45079</v>
      </c>
      <c r="C614" t="s">
        <v>1875</v>
      </c>
      <c r="D614" t="s">
        <v>31</v>
      </c>
      <c r="E614">
        <v>1</v>
      </c>
      <c r="F614">
        <v>24920</v>
      </c>
      <c r="G614" s="9">
        <v>0.13</v>
      </c>
      <c r="H614" t="s">
        <v>45</v>
      </c>
      <c r="I614" t="s">
        <v>1876</v>
      </c>
      <c r="J614" s="13" t="s">
        <v>73</v>
      </c>
      <c r="K614">
        <v>8</v>
      </c>
      <c r="L614" t="s">
        <v>60</v>
      </c>
      <c r="M614">
        <f>Table1[[#This Row],[UnitPrice]]*Table1[[#This Row],[Quantity]]</f>
        <v>24920</v>
      </c>
      <c r="N614">
        <f>Table1[[#This Row],[Total Price]]*Table1[[#This Row],[Discount]]</f>
        <v>3239.6</v>
      </c>
      <c r="O614">
        <f>Table1[[#This Row],[Total Price]]-Table1[[#This Row],[Discount Amount]]</f>
        <v>21680.400000000001</v>
      </c>
    </row>
    <row r="615" spans="1:15" x14ac:dyDescent="0.3">
      <c r="A615" t="s">
        <v>1877</v>
      </c>
      <c r="B615" s="1">
        <v>45645</v>
      </c>
      <c r="C615" t="s">
        <v>1878</v>
      </c>
      <c r="D615" t="s">
        <v>44</v>
      </c>
      <c r="E615">
        <v>2</v>
      </c>
      <c r="F615">
        <v>39774</v>
      </c>
      <c r="G615" s="9">
        <v>0.18</v>
      </c>
      <c r="H615" t="s">
        <v>20</v>
      </c>
      <c r="I615" t="s">
        <v>1879</v>
      </c>
      <c r="J615" s="14" t="s">
        <v>14</v>
      </c>
      <c r="K615">
        <v>4</v>
      </c>
      <c r="L615" t="s">
        <v>28</v>
      </c>
      <c r="M615">
        <f>Table1[[#This Row],[UnitPrice]]*Table1[[#This Row],[Quantity]]</f>
        <v>79548</v>
      </c>
      <c r="N615">
        <f>Table1[[#This Row],[Total Price]]*Table1[[#This Row],[Discount]]</f>
        <v>14318.64</v>
      </c>
      <c r="O615">
        <f>Table1[[#This Row],[Total Price]]-Table1[[#This Row],[Discount Amount]]</f>
        <v>65229.36</v>
      </c>
    </row>
    <row r="616" spans="1:15" x14ac:dyDescent="0.3">
      <c r="A616" t="s">
        <v>1880</v>
      </c>
      <c r="B616" s="1">
        <v>45359</v>
      </c>
      <c r="C616" t="s">
        <v>1881</v>
      </c>
      <c r="D616" t="s">
        <v>19</v>
      </c>
      <c r="E616">
        <v>2</v>
      </c>
      <c r="F616">
        <v>41803</v>
      </c>
      <c r="G616" s="9">
        <v>0.2</v>
      </c>
      <c r="H616" t="s">
        <v>45</v>
      </c>
      <c r="I616" t="s">
        <v>1882</v>
      </c>
      <c r="J616" s="13" t="s">
        <v>14</v>
      </c>
      <c r="K616">
        <v>3</v>
      </c>
      <c r="L616" t="s">
        <v>22</v>
      </c>
      <c r="M616">
        <f>Table1[[#This Row],[UnitPrice]]*Table1[[#This Row],[Quantity]]</f>
        <v>83606</v>
      </c>
      <c r="N616">
        <f>Table1[[#This Row],[Total Price]]*Table1[[#This Row],[Discount]]</f>
        <v>16721.2</v>
      </c>
      <c r="O616">
        <f>Table1[[#This Row],[Total Price]]-Table1[[#This Row],[Discount Amount]]</f>
        <v>66884.800000000003</v>
      </c>
    </row>
    <row r="617" spans="1:15" x14ac:dyDescent="0.3">
      <c r="A617" t="s">
        <v>1883</v>
      </c>
      <c r="B617" s="1">
        <v>45723</v>
      </c>
      <c r="C617" t="s">
        <v>1884</v>
      </c>
      <c r="D617" t="s">
        <v>12</v>
      </c>
      <c r="E617">
        <v>3</v>
      </c>
      <c r="F617">
        <v>4012</v>
      </c>
      <c r="G617" s="9">
        <v>0.1</v>
      </c>
      <c r="H617" t="s">
        <v>26</v>
      </c>
      <c r="I617" t="s">
        <v>1885</v>
      </c>
      <c r="J617" s="14" t="s">
        <v>37</v>
      </c>
      <c r="K617">
        <v>10</v>
      </c>
      <c r="L617" t="s">
        <v>33</v>
      </c>
      <c r="M617">
        <f>Table1[[#This Row],[UnitPrice]]*Table1[[#This Row],[Quantity]]</f>
        <v>12036</v>
      </c>
      <c r="N617">
        <f>Table1[[#This Row],[Total Price]]*Table1[[#This Row],[Discount]]</f>
        <v>1203.6000000000001</v>
      </c>
      <c r="O617">
        <f>Table1[[#This Row],[Total Price]]-Table1[[#This Row],[Discount Amount]]</f>
        <v>10832.4</v>
      </c>
    </row>
    <row r="618" spans="1:15" x14ac:dyDescent="0.3">
      <c r="A618" t="s">
        <v>1886</v>
      </c>
      <c r="B618" s="1">
        <v>45582</v>
      </c>
      <c r="C618" t="s">
        <v>1887</v>
      </c>
      <c r="D618" t="s">
        <v>25</v>
      </c>
      <c r="E618">
        <v>1</v>
      </c>
      <c r="F618">
        <v>5229</v>
      </c>
      <c r="G618" s="9">
        <v>0.44</v>
      </c>
      <c r="H618" t="s">
        <v>26</v>
      </c>
      <c r="I618" t="s">
        <v>1888</v>
      </c>
      <c r="J618" s="13" t="s">
        <v>73</v>
      </c>
      <c r="K618">
        <v>7</v>
      </c>
      <c r="L618" t="s">
        <v>33</v>
      </c>
      <c r="M618">
        <f>Table1[[#This Row],[UnitPrice]]*Table1[[#This Row],[Quantity]]</f>
        <v>5229</v>
      </c>
      <c r="N618">
        <f>Table1[[#This Row],[Total Price]]*Table1[[#This Row],[Discount]]</f>
        <v>2300.7600000000002</v>
      </c>
      <c r="O618">
        <f>Table1[[#This Row],[Total Price]]-Table1[[#This Row],[Discount Amount]]</f>
        <v>2928.24</v>
      </c>
    </row>
    <row r="619" spans="1:15" x14ac:dyDescent="0.3">
      <c r="A619" t="s">
        <v>1889</v>
      </c>
      <c r="B619" s="1">
        <v>45330</v>
      </c>
      <c r="C619" t="s">
        <v>1890</v>
      </c>
      <c r="D619" t="s">
        <v>25</v>
      </c>
      <c r="E619">
        <v>3</v>
      </c>
      <c r="F619">
        <v>16670</v>
      </c>
      <c r="G619" s="9">
        <v>0.06</v>
      </c>
      <c r="H619" t="s">
        <v>20</v>
      </c>
      <c r="I619" t="s">
        <v>1891</v>
      </c>
      <c r="J619" s="14" t="s">
        <v>14</v>
      </c>
      <c r="K619">
        <v>4</v>
      </c>
      <c r="L619" t="s">
        <v>22</v>
      </c>
      <c r="M619">
        <f>Table1[[#This Row],[UnitPrice]]*Table1[[#This Row],[Quantity]]</f>
        <v>50010</v>
      </c>
      <c r="N619">
        <f>Table1[[#This Row],[Total Price]]*Table1[[#This Row],[Discount]]</f>
        <v>3000.6</v>
      </c>
      <c r="O619">
        <f>Table1[[#This Row],[Total Price]]-Table1[[#This Row],[Discount Amount]]</f>
        <v>47009.4</v>
      </c>
    </row>
    <row r="620" spans="1:15" x14ac:dyDescent="0.3">
      <c r="A620" t="s">
        <v>1892</v>
      </c>
      <c r="B620" s="1">
        <v>45538</v>
      </c>
      <c r="C620" t="s">
        <v>1893</v>
      </c>
      <c r="D620" t="s">
        <v>25</v>
      </c>
      <c r="E620">
        <v>3</v>
      </c>
      <c r="F620">
        <v>16419</v>
      </c>
      <c r="G620" s="9">
        <v>0.28000000000000003</v>
      </c>
      <c r="H620" t="s">
        <v>13</v>
      </c>
      <c r="I620" t="s">
        <v>1894</v>
      </c>
      <c r="J620" s="13" t="s">
        <v>73</v>
      </c>
      <c r="K620">
        <v>5</v>
      </c>
      <c r="L620" t="s">
        <v>16</v>
      </c>
      <c r="M620">
        <f>Table1[[#This Row],[UnitPrice]]*Table1[[#This Row],[Quantity]]</f>
        <v>49257</v>
      </c>
      <c r="N620">
        <f>Table1[[#This Row],[Total Price]]*Table1[[#This Row],[Discount]]</f>
        <v>13791.960000000001</v>
      </c>
      <c r="O620">
        <f>Table1[[#This Row],[Total Price]]-Table1[[#This Row],[Discount Amount]]</f>
        <v>35465.040000000001</v>
      </c>
    </row>
    <row r="621" spans="1:15" x14ac:dyDescent="0.3">
      <c r="A621" t="s">
        <v>1895</v>
      </c>
      <c r="B621" s="1">
        <v>45489</v>
      </c>
      <c r="C621" t="s">
        <v>1896</v>
      </c>
      <c r="D621" t="s">
        <v>44</v>
      </c>
      <c r="E621">
        <v>3</v>
      </c>
      <c r="F621">
        <v>53081</v>
      </c>
      <c r="G621" s="9">
        <v>0.41</v>
      </c>
      <c r="H621" t="s">
        <v>45</v>
      </c>
      <c r="I621" t="s">
        <v>1897</v>
      </c>
      <c r="J621" s="14" t="s">
        <v>73</v>
      </c>
      <c r="K621">
        <v>2</v>
      </c>
      <c r="L621" t="s">
        <v>22</v>
      </c>
      <c r="M621">
        <f>Table1[[#This Row],[UnitPrice]]*Table1[[#This Row],[Quantity]]</f>
        <v>159243</v>
      </c>
      <c r="N621">
        <f>Table1[[#This Row],[Total Price]]*Table1[[#This Row],[Discount]]</f>
        <v>65289.63</v>
      </c>
      <c r="O621">
        <f>Table1[[#This Row],[Total Price]]-Table1[[#This Row],[Discount Amount]]</f>
        <v>93953.37</v>
      </c>
    </row>
    <row r="622" spans="1:15" x14ac:dyDescent="0.3">
      <c r="A622" t="s">
        <v>1898</v>
      </c>
      <c r="B622" s="1">
        <v>45378</v>
      </c>
      <c r="C622" t="s">
        <v>1899</v>
      </c>
      <c r="D622" t="s">
        <v>25</v>
      </c>
      <c r="E622">
        <v>3</v>
      </c>
      <c r="F622">
        <v>11375</v>
      </c>
      <c r="G622" s="9">
        <v>0.28999999999999998</v>
      </c>
      <c r="H622" t="s">
        <v>13</v>
      </c>
      <c r="I622" t="s">
        <v>1900</v>
      </c>
      <c r="J622" s="13" t="s">
        <v>37</v>
      </c>
      <c r="K622">
        <v>8</v>
      </c>
      <c r="L622" t="s">
        <v>22</v>
      </c>
      <c r="M622">
        <f>Table1[[#This Row],[UnitPrice]]*Table1[[#This Row],[Quantity]]</f>
        <v>34125</v>
      </c>
      <c r="N622">
        <f>Table1[[#This Row],[Total Price]]*Table1[[#This Row],[Discount]]</f>
        <v>9896.25</v>
      </c>
      <c r="O622">
        <f>Table1[[#This Row],[Total Price]]-Table1[[#This Row],[Discount Amount]]</f>
        <v>24228.75</v>
      </c>
    </row>
    <row r="623" spans="1:15" x14ac:dyDescent="0.3">
      <c r="A623" t="s">
        <v>1901</v>
      </c>
      <c r="B623" s="1">
        <v>45221</v>
      </c>
      <c r="C623" t="s">
        <v>1902</v>
      </c>
      <c r="D623" t="s">
        <v>19</v>
      </c>
      <c r="E623">
        <v>2</v>
      </c>
      <c r="F623">
        <v>47902</v>
      </c>
      <c r="G623" s="9">
        <v>0.16</v>
      </c>
      <c r="H623" t="s">
        <v>26</v>
      </c>
      <c r="I623" t="s">
        <v>1903</v>
      </c>
      <c r="J623" s="14" t="s">
        <v>37</v>
      </c>
      <c r="K623">
        <v>7</v>
      </c>
      <c r="L623" t="s">
        <v>60</v>
      </c>
      <c r="M623">
        <f>Table1[[#This Row],[UnitPrice]]*Table1[[#This Row],[Quantity]]</f>
        <v>95804</v>
      </c>
      <c r="N623">
        <f>Table1[[#This Row],[Total Price]]*Table1[[#This Row],[Discount]]</f>
        <v>15328.64</v>
      </c>
      <c r="O623">
        <f>Table1[[#This Row],[Total Price]]-Table1[[#This Row],[Discount Amount]]</f>
        <v>80475.360000000001</v>
      </c>
    </row>
    <row r="624" spans="1:15" x14ac:dyDescent="0.3">
      <c r="A624" t="s">
        <v>1904</v>
      </c>
      <c r="B624" s="1">
        <v>45598</v>
      </c>
      <c r="C624" t="s">
        <v>1905</v>
      </c>
      <c r="D624" t="s">
        <v>58</v>
      </c>
      <c r="E624">
        <v>2</v>
      </c>
      <c r="F624">
        <v>8676</v>
      </c>
      <c r="G624" s="9">
        <v>0.39</v>
      </c>
      <c r="H624" t="s">
        <v>26</v>
      </c>
      <c r="I624" t="s">
        <v>1906</v>
      </c>
      <c r="J624" s="13" t="s">
        <v>73</v>
      </c>
      <c r="K624">
        <v>7</v>
      </c>
      <c r="L624" t="s">
        <v>33</v>
      </c>
      <c r="M624">
        <f>Table1[[#This Row],[UnitPrice]]*Table1[[#This Row],[Quantity]]</f>
        <v>17352</v>
      </c>
      <c r="N624">
        <f>Table1[[#This Row],[Total Price]]*Table1[[#This Row],[Discount]]</f>
        <v>6767.2800000000007</v>
      </c>
      <c r="O624">
        <f>Table1[[#This Row],[Total Price]]-Table1[[#This Row],[Discount Amount]]</f>
        <v>10584.72</v>
      </c>
    </row>
    <row r="625" spans="1:15" x14ac:dyDescent="0.3">
      <c r="A625" t="s">
        <v>1907</v>
      </c>
      <c r="B625" s="1">
        <v>45093</v>
      </c>
      <c r="C625" t="s">
        <v>1908</v>
      </c>
      <c r="D625" t="s">
        <v>36</v>
      </c>
      <c r="E625">
        <v>1</v>
      </c>
      <c r="F625">
        <v>9919</v>
      </c>
      <c r="G625" s="9">
        <v>0.25</v>
      </c>
      <c r="H625" t="s">
        <v>45</v>
      </c>
      <c r="I625" t="s">
        <v>1909</v>
      </c>
      <c r="J625" s="14" t="s">
        <v>37</v>
      </c>
      <c r="K625">
        <v>4</v>
      </c>
      <c r="L625" t="s">
        <v>16</v>
      </c>
      <c r="M625">
        <f>Table1[[#This Row],[UnitPrice]]*Table1[[#This Row],[Quantity]]</f>
        <v>9919</v>
      </c>
      <c r="N625">
        <f>Table1[[#This Row],[Total Price]]*Table1[[#This Row],[Discount]]</f>
        <v>2479.75</v>
      </c>
      <c r="O625">
        <f>Table1[[#This Row],[Total Price]]-Table1[[#This Row],[Discount Amount]]</f>
        <v>7439.25</v>
      </c>
    </row>
    <row r="626" spans="1:15" x14ac:dyDescent="0.3">
      <c r="A626" t="s">
        <v>1910</v>
      </c>
      <c r="B626" s="1">
        <v>45307</v>
      </c>
      <c r="C626" t="s">
        <v>1911</v>
      </c>
      <c r="D626" t="s">
        <v>25</v>
      </c>
      <c r="E626">
        <v>2</v>
      </c>
      <c r="F626">
        <v>8117</v>
      </c>
      <c r="G626" s="9">
        <v>0.08</v>
      </c>
      <c r="H626" t="s">
        <v>13</v>
      </c>
      <c r="I626" t="s">
        <v>1912</v>
      </c>
      <c r="J626" s="13" t="s">
        <v>37</v>
      </c>
      <c r="K626">
        <v>6</v>
      </c>
      <c r="L626" t="s">
        <v>28</v>
      </c>
      <c r="M626">
        <f>Table1[[#This Row],[UnitPrice]]*Table1[[#This Row],[Quantity]]</f>
        <v>16234</v>
      </c>
      <c r="N626">
        <f>Table1[[#This Row],[Total Price]]*Table1[[#This Row],[Discount]]</f>
        <v>1298.72</v>
      </c>
      <c r="O626">
        <f>Table1[[#This Row],[Total Price]]-Table1[[#This Row],[Discount Amount]]</f>
        <v>14935.28</v>
      </c>
    </row>
    <row r="627" spans="1:15" x14ac:dyDescent="0.3">
      <c r="A627" t="s">
        <v>1913</v>
      </c>
      <c r="B627" s="1">
        <v>45193</v>
      </c>
      <c r="C627" t="s">
        <v>1914</v>
      </c>
      <c r="D627" t="s">
        <v>25</v>
      </c>
      <c r="E627">
        <v>2</v>
      </c>
      <c r="F627">
        <v>1584</v>
      </c>
      <c r="G627" s="9">
        <v>0.16</v>
      </c>
      <c r="H627" t="s">
        <v>26</v>
      </c>
      <c r="I627" t="s">
        <v>1915</v>
      </c>
      <c r="J627" s="14" t="s">
        <v>73</v>
      </c>
      <c r="K627">
        <v>1</v>
      </c>
      <c r="L627" t="s">
        <v>28</v>
      </c>
      <c r="M627">
        <f>Table1[[#This Row],[UnitPrice]]*Table1[[#This Row],[Quantity]]</f>
        <v>3168</v>
      </c>
      <c r="N627">
        <f>Table1[[#This Row],[Total Price]]*Table1[[#This Row],[Discount]]</f>
        <v>506.88</v>
      </c>
      <c r="O627">
        <f>Table1[[#This Row],[Total Price]]-Table1[[#This Row],[Discount Amount]]</f>
        <v>2661.12</v>
      </c>
    </row>
    <row r="628" spans="1:15" x14ac:dyDescent="0.3">
      <c r="A628" t="s">
        <v>1916</v>
      </c>
      <c r="B628" s="1">
        <v>45352</v>
      </c>
      <c r="C628" t="s">
        <v>1917</v>
      </c>
      <c r="D628" t="s">
        <v>25</v>
      </c>
      <c r="E628">
        <v>3</v>
      </c>
      <c r="F628">
        <v>6217</v>
      </c>
      <c r="G628" s="9">
        <v>0.3</v>
      </c>
      <c r="H628" t="s">
        <v>20</v>
      </c>
      <c r="I628" t="s">
        <v>1918</v>
      </c>
      <c r="J628" s="13" t="s">
        <v>14</v>
      </c>
      <c r="K628">
        <v>5</v>
      </c>
      <c r="L628" t="s">
        <v>22</v>
      </c>
      <c r="M628">
        <f>Table1[[#This Row],[UnitPrice]]*Table1[[#This Row],[Quantity]]</f>
        <v>18651</v>
      </c>
      <c r="N628">
        <f>Table1[[#This Row],[Total Price]]*Table1[[#This Row],[Discount]]</f>
        <v>5595.3</v>
      </c>
      <c r="O628">
        <f>Table1[[#This Row],[Total Price]]-Table1[[#This Row],[Discount Amount]]</f>
        <v>13055.7</v>
      </c>
    </row>
    <row r="629" spans="1:15" x14ac:dyDescent="0.3">
      <c r="A629" t="s">
        <v>1919</v>
      </c>
      <c r="B629" s="1">
        <v>45144</v>
      </c>
      <c r="C629" t="s">
        <v>1920</v>
      </c>
      <c r="D629" t="s">
        <v>31</v>
      </c>
      <c r="E629">
        <v>2</v>
      </c>
      <c r="F629">
        <v>33896</v>
      </c>
      <c r="G629" s="9">
        <v>0.33</v>
      </c>
      <c r="H629" t="s">
        <v>20</v>
      </c>
      <c r="I629" t="s">
        <v>1921</v>
      </c>
      <c r="J629" s="14" t="s">
        <v>37</v>
      </c>
      <c r="K629">
        <v>4</v>
      </c>
      <c r="L629" t="s">
        <v>28</v>
      </c>
      <c r="M629">
        <f>Table1[[#This Row],[UnitPrice]]*Table1[[#This Row],[Quantity]]</f>
        <v>67792</v>
      </c>
      <c r="N629">
        <f>Table1[[#This Row],[Total Price]]*Table1[[#This Row],[Discount]]</f>
        <v>22371.360000000001</v>
      </c>
      <c r="O629">
        <f>Table1[[#This Row],[Total Price]]-Table1[[#This Row],[Discount Amount]]</f>
        <v>45420.639999999999</v>
      </c>
    </row>
    <row r="630" spans="1:15" x14ac:dyDescent="0.3">
      <c r="A630" t="s">
        <v>1922</v>
      </c>
      <c r="B630" s="1">
        <v>45011</v>
      </c>
      <c r="C630" t="s">
        <v>1923</v>
      </c>
      <c r="D630" t="s">
        <v>36</v>
      </c>
      <c r="E630">
        <v>2</v>
      </c>
      <c r="F630">
        <v>8058</v>
      </c>
      <c r="G630" s="9">
        <v>0.27</v>
      </c>
      <c r="H630" t="s">
        <v>50</v>
      </c>
      <c r="I630" t="s">
        <v>1924</v>
      </c>
      <c r="J630" s="13" t="s">
        <v>73</v>
      </c>
      <c r="K630">
        <v>8</v>
      </c>
      <c r="L630" t="s">
        <v>22</v>
      </c>
      <c r="M630">
        <f>Table1[[#This Row],[UnitPrice]]*Table1[[#This Row],[Quantity]]</f>
        <v>16116</v>
      </c>
      <c r="N630">
        <f>Table1[[#This Row],[Total Price]]*Table1[[#This Row],[Discount]]</f>
        <v>4351.3200000000006</v>
      </c>
      <c r="O630">
        <f>Table1[[#This Row],[Total Price]]-Table1[[#This Row],[Discount Amount]]</f>
        <v>11764.68</v>
      </c>
    </row>
    <row r="631" spans="1:15" x14ac:dyDescent="0.3">
      <c r="A631" t="s">
        <v>1925</v>
      </c>
      <c r="B631" s="1">
        <v>45114</v>
      </c>
      <c r="C631" t="s">
        <v>1926</v>
      </c>
      <c r="D631" t="s">
        <v>19</v>
      </c>
      <c r="E631">
        <v>1</v>
      </c>
      <c r="F631">
        <v>44247</v>
      </c>
      <c r="G631" s="9">
        <v>0.14000000000000001</v>
      </c>
      <c r="H631" t="s">
        <v>20</v>
      </c>
      <c r="I631" t="s">
        <v>1927</v>
      </c>
      <c r="J631" s="14" t="s">
        <v>73</v>
      </c>
      <c r="K631">
        <v>3</v>
      </c>
      <c r="L631" t="s">
        <v>22</v>
      </c>
      <c r="M631">
        <f>Table1[[#This Row],[UnitPrice]]*Table1[[#This Row],[Quantity]]</f>
        <v>44247</v>
      </c>
      <c r="N631">
        <f>Table1[[#This Row],[Total Price]]*Table1[[#This Row],[Discount]]</f>
        <v>6194.5800000000008</v>
      </c>
      <c r="O631">
        <f>Table1[[#This Row],[Total Price]]-Table1[[#This Row],[Discount Amount]]</f>
        <v>38052.42</v>
      </c>
    </row>
    <row r="632" spans="1:15" x14ac:dyDescent="0.3">
      <c r="A632" t="s">
        <v>1928</v>
      </c>
      <c r="B632" s="1">
        <v>45100</v>
      </c>
      <c r="C632" t="s">
        <v>1929</v>
      </c>
      <c r="D632" t="s">
        <v>12</v>
      </c>
      <c r="E632">
        <v>1</v>
      </c>
      <c r="F632">
        <v>3739</v>
      </c>
      <c r="G632" s="9">
        <v>0.3</v>
      </c>
      <c r="H632" t="s">
        <v>13</v>
      </c>
      <c r="I632" t="s">
        <v>1930</v>
      </c>
      <c r="J632" s="13" t="s">
        <v>14</v>
      </c>
      <c r="K632">
        <v>10</v>
      </c>
      <c r="L632" t="s">
        <v>16</v>
      </c>
      <c r="M632">
        <f>Table1[[#This Row],[UnitPrice]]*Table1[[#This Row],[Quantity]]</f>
        <v>3739</v>
      </c>
      <c r="N632">
        <f>Table1[[#This Row],[Total Price]]*Table1[[#This Row],[Discount]]</f>
        <v>1121.7</v>
      </c>
      <c r="O632">
        <f>Table1[[#This Row],[Total Price]]-Table1[[#This Row],[Discount Amount]]</f>
        <v>2617.3000000000002</v>
      </c>
    </row>
    <row r="633" spans="1:15" x14ac:dyDescent="0.3">
      <c r="A633" t="s">
        <v>1931</v>
      </c>
      <c r="B633" s="1">
        <v>45535</v>
      </c>
      <c r="C633" t="s">
        <v>1932</v>
      </c>
      <c r="D633" t="s">
        <v>31</v>
      </c>
      <c r="E633">
        <v>2</v>
      </c>
      <c r="F633">
        <v>23731</v>
      </c>
      <c r="G633" s="9">
        <v>0.17</v>
      </c>
      <c r="H633" t="s">
        <v>45</v>
      </c>
      <c r="I633" t="s">
        <v>1933</v>
      </c>
      <c r="J633" s="14" t="s">
        <v>37</v>
      </c>
      <c r="K633">
        <v>5</v>
      </c>
      <c r="L633" t="s">
        <v>22</v>
      </c>
      <c r="M633">
        <f>Table1[[#This Row],[UnitPrice]]*Table1[[#This Row],[Quantity]]</f>
        <v>47462</v>
      </c>
      <c r="N633">
        <f>Table1[[#This Row],[Total Price]]*Table1[[#This Row],[Discount]]</f>
        <v>8068.5400000000009</v>
      </c>
      <c r="O633">
        <f>Table1[[#This Row],[Total Price]]-Table1[[#This Row],[Discount Amount]]</f>
        <v>39393.46</v>
      </c>
    </row>
    <row r="634" spans="1:15" x14ac:dyDescent="0.3">
      <c r="A634" t="s">
        <v>1934</v>
      </c>
      <c r="B634" s="1">
        <v>45048</v>
      </c>
      <c r="C634" t="s">
        <v>1935</v>
      </c>
      <c r="D634" t="s">
        <v>44</v>
      </c>
      <c r="E634">
        <v>1</v>
      </c>
      <c r="F634">
        <v>39999</v>
      </c>
      <c r="G634" s="9">
        <v>0.11</v>
      </c>
      <c r="H634" t="s">
        <v>45</v>
      </c>
      <c r="I634" t="s">
        <v>1936</v>
      </c>
      <c r="J634" s="13" t="s">
        <v>37</v>
      </c>
      <c r="K634">
        <v>7</v>
      </c>
      <c r="L634" t="s">
        <v>33</v>
      </c>
      <c r="M634">
        <f>Table1[[#This Row],[UnitPrice]]*Table1[[#This Row],[Quantity]]</f>
        <v>39999</v>
      </c>
      <c r="N634">
        <f>Table1[[#This Row],[Total Price]]*Table1[[#This Row],[Discount]]</f>
        <v>4399.8900000000003</v>
      </c>
      <c r="O634">
        <f>Table1[[#This Row],[Total Price]]-Table1[[#This Row],[Discount Amount]]</f>
        <v>35599.11</v>
      </c>
    </row>
    <row r="635" spans="1:15" x14ac:dyDescent="0.3">
      <c r="A635" t="s">
        <v>1937</v>
      </c>
      <c r="B635" s="1">
        <v>45392</v>
      </c>
      <c r="C635" t="s">
        <v>1938</v>
      </c>
      <c r="D635" t="s">
        <v>44</v>
      </c>
      <c r="E635">
        <v>3</v>
      </c>
      <c r="F635">
        <v>60158</v>
      </c>
      <c r="G635" s="9">
        <v>0.47</v>
      </c>
      <c r="H635" t="s">
        <v>45</v>
      </c>
      <c r="I635" t="s">
        <v>1939</v>
      </c>
      <c r="J635" s="14" t="s">
        <v>73</v>
      </c>
      <c r="K635">
        <v>5</v>
      </c>
      <c r="L635" t="s">
        <v>16</v>
      </c>
      <c r="M635">
        <f>Table1[[#This Row],[UnitPrice]]*Table1[[#This Row],[Quantity]]</f>
        <v>180474</v>
      </c>
      <c r="N635">
        <f>Table1[[#This Row],[Total Price]]*Table1[[#This Row],[Discount]]</f>
        <v>84822.78</v>
      </c>
      <c r="O635">
        <f>Table1[[#This Row],[Total Price]]-Table1[[#This Row],[Discount Amount]]</f>
        <v>95651.22</v>
      </c>
    </row>
    <row r="636" spans="1:15" x14ac:dyDescent="0.3">
      <c r="A636" t="s">
        <v>1940</v>
      </c>
      <c r="B636" s="1">
        <v>45407</v>
      </c>
      <c r="C636" t="s">
        <v>1941</v>
      </c>
      <c r="D636" t="s">
        <v>36</v>
      </c>
      <c r="E636">
        <v>1</v>
      </c>
      <c r="F636">
        <v>8224</v>
      </c>
      <c r="G636" s="9">
        <v>0.16</v>
      </c>
      <c r="H636" t="s">
        <v>45</v>
      </c>
      <c r="I636" t="s">
        <v>1942</v>
      </c>
      <c r="J636" s="13" t="s">
        <v>37</v>
      </c>
      <c r="K636">
        <v>2</v>
      </c>
      <c r="L636" t="s">
        <v>22</v>
      </c>
      <c r="M636">
        <f>Table1[[#This Row],[UnitPrice]]*Table1[[#This Row],[Quantity]]</f>
        <v>8224</v>
      </c>
      <c r="N636">
        <f>Table1[[#This Row],[Total Price]]*Table1[[#This Row],[Discount]]</f>
        <v>1315.84</v>
      </c>
      <c r="O636">
        <f>Table1[[#This Row],[Total Price]]-Table1[[#This Row],[Discount Amount]]</f>
        <v>6908.16</v>
      </c>
    </row>
    <row r="637" spans="1:15" x14ac:dyDescent="0.3">
      <c r="A637" t="s">
        <v>1943</v>
      </c>
      <c r="B637" s="1">
        <v>45273</v>
      </c>
      <c r="C637" t="s">
        <v>1944</v>
      </c>
      <c r="D637" t="s">
        <v>31</v>
      </c>
      <c r="E637">
        <v>3</v>
      </c>
      <c r="F637">
        <v>36672</v>
      </c>
      <c r="G637" s="9">
        <v>0.17</v>
      </c>
      <c r="H637" t="s">
        <v>50</v>
      </c>
      <c r="I637" t="s">
        <v>1945</v>
      </c>
      <c r="J637" s="14" t="s">
        <v>37</v>
      </c>
      <c r="K637">
        <v>6</v>
      </c>
      <c r="L637" t="s">
        <v>33</v>
      </c>
      <c r="M637">
        <f>Table1[[#This Row],[UnitPrice]]*Table1[[#This Row],[Quantity]]</f>
        <v>110016</v>
      </c>
      <c r="N637">
        <f>Table1[[#This Row],[Total Price]]*Table1[[#This Row],[Discount]]</f>
        <v>18702.72</v>
      </c>
      <c r="O637">
        <f>Table1[[#This Row],[Total Price]]-Table1[[#This Row],[Discount Amount]]</f>
        <v>91313.279999999999</v>
      </c>
    </row>
    <row r="638" spans="1:15" x14ac:dyDescent="0.3">
      <c r="A638" t="s">
        <v>1946</v>
      </c>
      <c r="B638" s="1">
        <v>45204</v>
      </c>
      <c r="C638" t="s">
        <v>1947</v>
      </c>
      <c r="D638" t="s">
        <v>44</v>
      </c>
      <c r="E638">
        <v>3</v>
      </c>
      <c r="F638">
        <v>70155</v>
      </c>
      <c r="G638" s="9">
        <v>0.45</v>
      </c>
      <c r="H638" t="s">
        <v>50</v>
      </c>
      <c r="I638" t="s">
        <v>1948</v>
      </c>
      <c r="J638" s="13" t="s">
        <v>73</v>
      </c>
      <c r="K638">
        <v>7</v>
      </c>
      <c r="L638" t="s">
        <v>33</v>
      </c>
      <c r="M638">
        <f>Table1[[#This Row],[UnitPrice]]*Table1[[#This Row],[Quantity]]</f>
        <v>210465</v>
      </c>
      <c r="N638">
        <f>Table1[[#This Row],[Total Price]]*Table1[[#This Row],[Discount]]</f>
        <v>94709.25</v>
      </c>
      <c r="O638">
        <f>Table1[[#This Row],[Total Price]]-Table1[[#This Row],[Discount Amount]]</f>
        <v>115755.75</v>
      </c>
    </row>
    <row r="639" spans="1:15" x14ac:dyDescent="0.3">
      <c r="A639" t="s">
        <v>1949</v>
      </c>
      <c r="B639" s="1">
        <v>45564</v>
      </c>
      <c r="C639" t="s">
        <v>1950</v>
      </c>
      <c r="D639" t="s">
        <v>31</v>
      </c>
      <c r="E639">
        <v>2</v>
      </c>
      <c r="F639">
        <v>47617</v>
      </c>
      <c r="G639" s="9">
        <v>7.0000000000000007E-2</v>
      </c>
      <c r="H639" t="s">
        <v>45</v>
      </c>
      <c r="I639" t="s">
        <v>1951</v>
      </c>
      <c r="J639" s="14" t="s">
        <v>14</v>
      </c>
      <c r="K639">
        <v>7</v>
      </c>
      <c r="L639" t="s">
        <v>22</v>
      </c>
      <c r="M639">
        <f>Table1[[#This Row],[UnitPrice]]*Table1[[#This Row],[Quantity]]</f>
        <v>95234</v>
      </c>
      <c r="N639">
        <f>Table1[[#This Row],[Total Price]]*Table1[[#This Row],[Discount]]</f>
        <v>6666.380000000001</v>
      </c>
      <c r="O639">
        <f>Table1[[#This Row],[Total Price]]-Table1[[#This Row],[Discount Amount]]</f>
        <v>88567.62</v>
      </c>
    </row>
    <row r="640" spans="1:15" x14ac:dyDescent="0.3">
      <c r="A640" t="s">
        <v>1952</v>
      </c>
      <c r="B640" s="1">
        <v>45214</v>
      </c>
      <c r="C640" t="s">
        <v>1953</v>
      </c>
      <c r="D640" t="s">
        <v>25</v>
      </c>
      <c r="E640">
        <v>3</v>
      </c>
      <c r="F640">
        <v>15131</v>
      </c>
      <c r="G640" s="9">
        <v>0.28999999999999998</v>
      </c>
      <c r="H640" t="s">
        <v>20</v>
      </c>
      <c r="I640" t="s">
        <v>1954</v>
      </c>
      <c r="J640" s="13" t="s">
        <v>37</v>
      </c>
      <c r="K640">
        <v>9</v>
      </c>
      <c r="L640" t="s">
        <v>28</v>
      </c>
      <c r="M640">
        <f>Table1[[#This Row],[UnitPrice]]*Table1[[#This Row],[Quantity]]</f>
        <v>45393</v>
      </c>
      <c r="N640">
        <f>Table1[[#This Row],[Total Price]]*Table1[[#This Row],[Discount]]</f>
        <v>13163.97</v>
      </c>
      <c r="O640">
        <f>Table1[[#This Row],[Total Price]]-Table1[[#This Row],[Discount Amount]]</f>
        <v>32229.03</v>
      </c>
    </row>
    <row r="641" spans="1:15" x14ac:dyDescent="0.3">
      <c r="A641" t="s">
        <v>1955</v>
      </c>
      <c r="B641" s="1">
        <v>44946</v>
      </c>
      <c r="C641" t="s">
        <v>1956</v>
      </c>
      <c r="D641" t="s">
        <v>31</v>
      </c>
      <c r="E641">
        <v>3</v>
      </c>
      <c r="F641">
        <v>22257</v>
      </c>
      <c r="G641" s="9">
        <v>0.39</v>
      </c>
      <c r="H641" t="s">
        <v>50</v>
      </c>
      <c r="I641" t="s">
        <v>1957</v>
      </c>
      <c r="J641" s="14" t="s">
        <v>14</v>
      </c>
      <c r="K641">
        <v>5</v>
      </c>
      <c r="L641" t="s">
        <v>22</v>
      </c>
      <c r="M641">
        <f>Table1[[#This Row],[UnitPrice]]*Table1[[#This Row],[Quantity]]</f>
        <v>66771</v>
      </c>
      <c r="N641">
        <f>Table1[[#This Row],[Total Price]]*Table1[[#This Row],[Discount]]</f>
        <v>26040.690000000002</v>
      </c>
      <c r="O641">
        <f>Table1[[#This Row],[Total Price]]-Table1[[#This Row],[Discount Amount]]</f>
        <v>40730.31</v>
      </c>
    </row>
    <row r="642" spans="1:15" x14ac:dyDescent="0.3">
      <c r="A642" t="s">
        <v>1958</v>
      </c>
      <c r="B642" s="1">
        <v>45349</v>
      </c>
      <c r="C642" t="s">
        <v>1959</v>
      </c>
      <c r="D642" t="s">
        <v>31</v>
      </c>
      <c r="E642">
        <v>3</v>
      </c>
      <c r="F642">
        <v>17976</v>
      </c>
      <c r="G642" s="9">
        <v>0.14000000000000001</v>
      </c>
      <c r="H642" t="s">
        <v>45</v>
      </c>
      <c r="I642" t="s">
        <v>1960</v>
      </c>
      <c r="J642" s="13" t="s">
        <v>37</v>
      </c>
      <c r="K642">
        <v>6</v>
      </c>
      <c r="L642" t="s">
        <v>22</v>
      </c>
      <c r="M642">
        <f>Table1[[#This Row],[UnitPrice]]*Table1[[#This Row],[Quantity]]</f>
        <v>53928</v>
      </c>
      <c r="N642">
        <f>Table1[[#This Row],[Total Price]]*Table1[[#This Row],[Discount]]</f>
        <v>7549.920000000001</v>
      </c>
      <c r="O642">
        <f>Table1[[#This Row],[Total Price]]-Table1[[#This Row],[Discount Amount]]</f>
        <v>46378.080000000002</v>
      </c>
    </row>
    <row r="643" spans="1:15" x14ac:dyDescent="0.3">
      <c r="A643" t="s">
        <v>1961</v>
      </c>
      <c r="B643" s="1">
        <v>45473</v>
      </c>
      <c r="C643" t="s">
        <v>1962</v>
      </c>
      <c r="D643" t="s">
        <v>36</v>
      </c>
      <c r="E643">
        <v>2</v>
      </c>
      <c r="F643">
        <v>8690</v>
      </c>
      <c r="G643" s="9">
        <v>0.42</v>
      </c>
      <c r="H643" t="s">
        <v>13</v>
      </c>
      <c r="I643" t="s">
        <v>1963</v>
      </c>
      <c r="J643" s="14" t="s">
        <v>73</v>
      </c>
      <c r="K643">
        <v>9</v>
      </c>
      <c r="L643" t="s">
        <v>60</v>
      </c>
      <c r="M643">
        <f>Table1[[#This Row],[UnitPrice]]*Table1[[#This Row],[Quantity]]</f>
        <v>17380</v>
      </c>
      <c r="N643">
        <f>Table1[[#This Row],[Total Price]]*Table1[[#This Row],[Discount]]</f>
        <v>7299.5999999999995</v>
      </c>
      <c r="O643">
        <f>Table1[[#This Row],[Total Price]]-Table1[[#This Row],[Discount Amount]]</f>
        <v>10080.400000000001</v>
      </c>
    </row>
    <row r="644" spans="1:15" x14ac:dyDescent="0.3">
      <c r="A644" t="s">
        <v>1964</v>
      </c>
      <c r="B644" s="1">
        <v>45411</v>
      </c>
      <c r="C644" t="s">
        <v>1965</v>
      </c>
      <c r="D644" t="s">
        <v>31</v>
      </c>
      <c r="E644">
        <v>2</v>
      </c>
      <c r="F644">
        <v>17557</v>
      </c>
      <c r="G644" s="9">
        <v>0.38</v>
      </c>
      <c r="H644" t="s">
        <v>26</v>
      </c>
      <c r="I644" t="s">
        <v>1966</v>
      </c>
      <c r="J644" s="13" t="s">
        <v>14</v>
      </c>
      <c r="K644">
        <v>7</v>
      </c>
      <c r="L644" t="s">
        <v>28</v>
      </c>
      <c r="M644">
        <f>Table1[[#This Row],[UnitPrice]]*Table1[[#This Row],[Quantity]]</f>
        <v>35114</v>
      </c>
      <c r="N644">
        <f>Table1[[#This Row],[Total Price]]*Table1[[#This Row],[Discount]]</f>
        <v>13343.32</v>
      </c>
      <c r="O644">
        <f>Table1[[#This Row],[Total Price]]-Table1[[#This Row],[Discount Amount]]</f>
        <v>21770.68</v>
      </c>
    </row>
    <row r="645" spans="1:15" x14ac:dyDescent="0.3">
      <c r="A645" t="s">
        <v>1967</v>
      </c>
      <c r="B645" s="1">
        <v>45530</v>
      </c>
      <c r="C645" t="s">
        <v>1968</v>
      </c>
      <c r="D645" t="s">
        <v>44</v>
      </c>
      <c r="E645">
        <v>3</v>
      </c>
      <c r="F645">
        <v>47594</v>
      </c>
      <c r="G645" s="9">
        <v>0.24</v>
      </c>
      <c r="H645" t="s">
        <v>50</v>
      </c>
      <c r="I645" t="s">
        <v>1969</v>
      </c>
      <c r="J645" s="14" t="s">
        <v>73</v>
      </c>
      <c r="K645">
        <v>4</v>
      </c>
      <c r="L645" t="s">
        <v>22</v>
      </c>
      <c r="M645">
        <f>Table1[[#This Row],[UnitPrice]]*Table1[[#This Row],[Quantity]]</f>
        <v>142782</v>
      </c>
      <c r="N645">
        <f>Table1[[#This Row],[Total Price]]*Table1[[#This Row],[Discount]]</f>
        <v>34267.68</v>
      </c>
      <c r="O645">
        <f>Table1[[#This Row],[Total Price]]-Table1[[#This Row],[Discount Amount]]</f>
        <v>108514.32</v>
      </c>
    </row>
    <row r="646" spans="1:15" x14ac:dyDescent="0.3">
      <c r="A646" t="s">
        <v>1970</v>
      </c>
      <c r="B646" s="1">
        <v>45245</v>
      </c>
      <c r="C646" t="s">
        <v>1971</v>
      </c>
      <c r="D646" t="s">
        <v>31</v>
      </c>
      <c r="E646">
        <v>2</v>
      </c>
      <c r="F646">
        <v>28864</v>
      </c>
      <c r="G646" s="9">
        <v>0.06</v>
      </c>
      <c r="H646" t="s">
        <v>50</v>
      </c>
      <c r="I646" t="s">
        <v>1972</v>
      </c>
      <c r="J646" s="13" t="s">
        <v>14</v>
      </c>
      <c r="K646">
        <v>2</v>
      </c>
      <c r="L646" t="s">
        <v>28</v>
      </c>
      <c r="M646">
        <f>Table1[[#This Row],[UnitPrice]]*Table1[[#This Row],[Quantity]]</f>
        <v>57728</v>
      </c>
      <c r="N646">
        <f>Table1[[#This Row],[Total Price]]*Table1[[#This Row],[Discount]]</f>
        <v>3463.68</v>
      </c>
      <c r="O646">
        <f>Table1[[#This Row],[Total Price]]-Table1[[#This Row],[Discount Amount]]</f>
        <v>54264.32</v>
      </c>
    </row>
    <row r="647" spans="1:15" x14ac:dyDescent="0.3">
      <c r="A647" t="s">
        <v>1973</v>
      </c>
      <c r="B647" s="1">
        <v>44928</v>
      </c>
      <c r="C647" t="s">
        <v>1974</v>
      </c>
      <c r="D647" t="s">
        <v>44</v>
      </c>
      <c r="E647">
        <v>3</v>
      </c>
      <c r="F647">
        <v>20978</v>
      </c>
      <c r="G647" s="9">
        <v>0.49</v>
      </c>
      <c r="H647" t="s">
        <v>26</v>
      </c>
      <c r="I647" t="s">
        <v>1975</v>
      </c>
      <c r="J647" s="14" t="s">
        <v>73</v>
      </c>
      <c r="K647">
        <v>4</v>
      </c>
      <c r="L647" t="s">
        <v>33</v>
      </c>
      <c r="M647">
        <f>Table1[[#This Row],[UnitPrice]]*Table1[[#This Row],[Quantity]]</f>
        <v>62934</v>
      </c>
      <c r="N647">
        <f>Table1[[#This Row],[Total Price]]*Table1[[#This Row],[Discount]]</f>
        <v>30837.66</v>
      </c>
      <c r="O647">
        <f>Table1[[#This Row],[Total Price]]-Table1[[#This Row],[Discount Amount]]</f>
        <v>32096.34</v>
      </c>
    </row>
    <row r="648" spans="1:15" x14ac:dyDescent="0.3">
      <c r="A648" t="s">
        <v>1976</v>
      </c>
      <c r="B648" s="1">
        <v>45226</v>
      </c>
      <c r="C648" t="s">
        <v>1977</v>
      </c>
      <c r="D648" t="s">
        <v>31</v>
      </c>
      <c r="E648">
        <v>3</v>
      </c>
      <c r="F648">
        <v>40970</v>
      </c>
      <c r="G648" s="9">
        <v>0.31</v>
      </c>
      <c r="H648" t="s">
        <v>13</v>
      </c>
      <c r="I648" t="s">
        <v>1978</v>
      </c>
      <c r="J648" s="13" t="s">
        <v>14</v>
      </c>
      <c r="K648">
        <v>4</v>
      </c>
      <c r="L648" t="s">
        <v>60</v>
      </c>
      <c r="M648">
        <f>Table1[[#This Row],[UnitPrice]]*Table1[[#This Row],[Quantity]]</f>
        <v>122910</v>
      </c>
      <c r="N648">
        <f>Table1[[#This Row],[Total Price]]*Table1[[#This Row],[Discount]]</f>
        <v>38102.1</v>
      </c>
      <c r="O648">
        <f>Table1[[#This Row],[Total Price]]-Table1[[#This Row],[Discount Amount]]</f>
        <v>84807.9</v>
      </c>
    </row>
    <row r="649" spans="1:15" x14ac:dyDescent="0.3">
      <c r="A649" t="s">
        <v>1979</v>
      </c>
      <c r="B649" s="1">
        <v>45771</v>
      </c>
      <c r="C649" t="s">
        <v>1980</v>
      </c>
      <c r="D649" t="s">
        <v>58</v>
      </c>
      <c r="E649">
        <v>1</v>
      </c>
      <c r="F649">
        <v>3489</v>
      </c>
      <c r="G649" s="9">
        <v>0.26</v>
      </c>
      <c r="H649" t="s">
        <v>50</v>
      </c>
      <c r="I649" t="s">
        <v>1981</v>
      </c>
      <c r="J649" s="14" t="s">
        <v>73</v>
      </c>
      <c r="K649">
        <v>7</v>
      </c>
      <c r="L649" t="s">
        <v>60</v>
      </c>
      <c r="M649">
        <f>Table1[[#This Row],[UnitPrice]]*Table1[[#This Row],[Quantity]]</f>
        <v>3489</v>
      </c>
      <c r="N649">
        <f>Table1[[#This Row],[Total Price]]*Table1[[#This Row],[Discount]]</f>
        <v>907.14</v>
      </c>
      <c r="O649">
        <f>Table1[[#This Row],[Total Price]]-Table1[[#This Row],[Discount Amount]]</f>
        <v>2581.86</v>
      </c>
    </row>
    <row r="650" spans="1:15" x14ac:dyDescent="0.3">
      <c r="A650" t="s">
        <v>1982</v>
      </c>
      <c r="B650" s="1">
        <v>45675</v>
      </c>
      <c r="C650" t="s">
        <v>1983</v>
      </c>
      <c r="D650" t="s">
        <v>12</v>
      </c>
      <c r="E650">
        <v>2</v>
      </c>
      <c r="F650">
        <v>6520</v>
      </c>
      <c r="G650" s="9">
        <v>0.44</v>
      </c>
      <c r="H650" t="s">
        <v>20</v>
      </c>
      <c r="I650" t="s">
        <v>1984</v>
      </c>
      <c r="J650" s="13" t="s">
        <v>37</v>
      </c>
      <c r="K650">
        <v>3</v>
      </c>
      <c r="L650" t="s">
        <v>22</v>
      </c>
      <c r="M650">
        <f>Table1[[#This Row],[UnitPrice]]*Table1[[#This Row],[Quantity]]</f>
        <v>13040</v>
      </c>
      <c r="N650">
        <f>Table1[[#This Row],[Total Price]]*Table1[[#This Row],[Discount]]</f>
        <v>5737.6</v>
      </c>
      <c r="O650">
        <f>Table1[[#This Row],[Total Price]]-Table1[[#This Row],[Discount Amount]]</f>
        <v>7302.4</v>
      </c>
    </row>
    <row r="651" spans="1:15" x14ac:dyDescent="0.3">
      <c r="A651" t="s">
        <v>1985</v>
      </c>
      <c r="B651" s="1">
        <v>45283</v>
      </c>
      <c r="C651" t="s">
        <v>1986</v>
      </c>
      <c r="D651" t="s">
        <v>12</v>
      </c>
      <c r="E651">
        <v>3</v>
      </c>
      <c r="F651">
        <v>5456</v>
      </c>
      <c r="G651" s="9">
        <v>0.21</v>
      </c>
      <c r="H651" t="s">
        <v>13</v>
      </c>
      <c r="I651" t="s">
        <v>1987</v>
      </c>
      <c r="J651" s="14" t="s">
        <v>37</v>
      </c>
      <c r="K651">
        <v>7</v>
      </c>
      <c r="L651" t="s">
        <v>28</v>
      </c>
      <c r="M651">
        <f>Table1[[#This Row],[UnitPrice]]*Table1[[#This Row],[Quantity]]</f>
        <v>16368</v>
      </c>
      <c r="N651">
        <f>Table1[[#This Row],[Total Price]]*Table1[[#This Row],[Discount]]</f>
        <v>3437.2799999999997</v>
      </c>
      <c r="O651">
        <f>Table1[[#This Row],[Total Price]]-Table1[[#This Row],[Discount Amount]]</f>
        <v>12930.720000000001</v>
      </c>
    </row>
    <row r="652" spans="1:15" x14ac:dyDescent="0.3">
      <c r="A652" t="s">
        <v>1988</v>
      </c>
      <c r="B652" s="1">
        <v>45064</v>
      </c>
      <c r="C652" t="s">
        <v>1989</v>
      </c>
      <c r="D652" t="s">
        <v>58</v>
      </c>
      <c r="E652">
        <v>1</v>
      </c>
      <c r="F652">
        <v>9966</v>
      </c>
      <c r="G652" s="9">
        <v>0.28000000000000003</v>
      </c>
      <c r="H652" t="s">
        <v>45</v>
      </c>
      <c r="I652" t="s">
        <v>1990</v>
      </c>
      <c r="J652" s="13" t="s">
        <v>37</v>
      </c>
      <c r="K652">
        <v>7</v>
      </c>
      <c r="L652" t="s">
        <v>28</v>
      </c>
      <c r="M652">
        <f>Table1[[#This Row],[UnitPrice]]*Table1[[#This Row],[Quantity]]</f>
        <v>9966</v>
      </c>
      <c r="N652">
        <f>Table1[[#This Row],[Total Price]]*Table1[[#This Row],[Discount]]</f>
        <v>2790.4800000000005</v>
      </c>
      <c r="O652">
        <f>Table1[[#This Row],[Total Price]]-Table1[[#This Row],[Discount Amount]]</f>
        <v>7175.5199999999995</v>
      </c>
    </row>
    <row r="653" spans="1:15" x14ac:dyDescent="0.3">
      <c r="A653" t="s">
        <v>1991</v>
      </c>
      <c r="B653" s="1">
        <v>45608</v>
      </c>
      <c r="C653" t="s">
        <v>1992</v>
      </c>
      <c r="D653" t="s">
        <v>31</v>
      </c>
      <c r="E653">
        <v>2</v>
      </c>
      <c r="F653">
        <v>31556</v>
      </c>
      <c r="G653" s="9">
        <v>0.43</v>
      </c>
      <c r="H653" t="s">
        <v>13</v>
      </c>
      <c r="I653" t="s">
        <v>1993</v>
      </c>
      <c r="J653" s="14" t="s">
        <v>73</v>
      </c>
      <c r="K653">
        <v>5</v>
      </c>
      <c r="L653" t="s">
        <v>60</v>
      </c>
      <c r="M653">
        <f>Table1[[#This Row],[UnitPrice]]*Table1[[#This Row],[Quantity]]</f>
        <v>63112</v>
      </c>
      <c r="N653">
        <f>Table1[[#This Row],[Total Price]]*Table1[[#This Row],[Discount]]</f>
        <v>27138.16</v>
      </c>
      <c r="O653">
        <f>Table1[[#This Row],[Total Price]]-Table1[[#This Row],[Discount Amount]]</f>
        <v>35973.839999999997</v>
      </c>
    </row>
    <row r="654" spans="1:15" x14ac:dyDescent="0.3">
      <c r="A654" t="s">
        <v>1994</v>
      </c>
      <c r="B654" s="1">
        <v>45448</v>
      </c>
      <c r="C654" t="s">
        <v>1995</v>
      </c>
      <c r="D654" t="s">
        <v>31</v>
      </c>
      <c r="E654">
        <v>1</v>
      </c>
      <c r="F654">
        <v>23504</v>
      </c>
      <c r="G654" s="9">
        <v>0.2</v>
      </c>
      <c r="H654" t="s">
        <v>20</v>
      </c>
      <c r="I654" t="s">
        <v>1996</v>
      </c>
      <c r="J654" s="13" t="s">
        <v>14</v>
      </c>
      <c r="K654">
        <v>8</v>
      </c>
      <c r="L654" t="s">
        <v>16</v>
      </c>
      <c r="M654">
        <f>Table1[[#This Row],[UnitPrice]]*Table1[[#This Row],[Quantity]]</f>
        <v>23504</v>
      </c>
      <c r="N654">
        <f>Table1[[#This Row],[Total Price]]*Table1[[#This Row],[Discount]]</f>
        <v>4700.8</v>
      </c>
      <c r="O654">
        <f>Table1[[#This Row],[Total Price]]-Table1[[#This Row],[Discount Amount]]</f>
        <v>18803.2</v>
      </c>
    </row>
    <row r="655" spans="1:15" x14ac:dyDescent="0.3">
      <c r="A655" t="s">
        <v>1997</v>
      </c>
      <c r="B655" s="1">
        <v>45347</v>
      </c>
      <c r="C655" t="s">
        <v>1998</v>
      </c>
      <c r="D655" t="s">
        <v>36</v>
      </c>
      <c r="E655">
        <v>1</v>
      </c>
      <c r="F655">
        <v>9939</v>
      </c>
      <c r="G655" s="9">
        <v>0.39</v>
      </c>
      <c r="H655" t="s">
        <v>26</v>
      </c>
      <c r="I655" t="s">
        <v>1999</v>
      </c>
      <c r="J655" s="14" t="s">
        <v>14</v>
      </c>
      <c r="K655">
        <v>6</v>
      </c>
      <c r="L655" t="s">
        <v>60</v>
      </c>
      <c r="M655">
        <f>Table1[[#This Row],[UnitPrice]]*Table1[[#This Row],[Quantity]]</f>
        <v>9939</v>
      </c>
      <c r="N655">
        <f>Table1[[#This Row],[Total Price]]*Table1[[#This Row],[Discount]]</f>
        <v>3876.21</v>
      </c>
      <c r="O655">
        <f>Table1[[#This Row],[Total Price]]-Table1[[#This Row],[Discount Amount]]</f>
        <v>6062.79</v>
      </c>
    </row>
    <row r="656" spans="1:15" x14ac:dyDescent="0.3">
      <c r="A656" t="s">
        <v>2000</v>
      </c>
      <c r="B656" s="1">
        <v>45089</v>
      </c>
      <c r="C656" t="s">
        <v>2001</v>
      </c>
      <c r="D656" t="s">
        <v>25</v>
      </c>
      <c r="E656">
        <v>1</v>
      </c>
      <c r="F656">
        <v>7077</v>
      </c>
      <c r="G656" s="9">
        <v>0.13</v>
      </c>
      <c r="H656" t="s">
        <v>13</v>
      </c>
      <c r="I656" t="s">
        <v>2002</v>
      </c>
      <c r="J656" s="13" t="s">
        <v>14</v>
      </c>
      <c r="K656">
        <v>8</v>
      </c>
      <c r="L656" t="s">
        <v>16</v>
      </c>
      <c r="M656">
        <f>Table1[[#This Row],[UnitPrice]]*Table1[[#This Row],[Quantity]]</f>
        <v>7077</v>
      </c>
      <c r="N656">
        <f>Table1[[#This Row],[Total Price]]*Table1[[#This Row],[Discount]]</f>
        <v>920.01</v>
      </c>
      <c r="O656">
        <f>Table1[[#This Row],[Total Price]]-Table1[[#This Row],[Discount Amount]]</f>
        <v>6156.99</v>
      </c>
    </row>
    <row r="657" spans="1:15" x14ac:dyDescent="0.3">
      <c r="A657" t="s">
        <v>2003</v>
      </c>
      <c r="B657" s="1">
        <v>44999</v>
      </c>
      <c r="C657" t="s">
        <v>2004</v>
      </c>
      <c r="D657" t="s">
        <v>31</v>
      </c>
      <c r="E657">
        <v>1</v>
      </c>
      <c r="F657">
        <v>42253</v>
      </c>
      <c r="G657" s="9">
        <v>0.35</v>
      </c>
      <c r="H657" t="s">
        <v>13</v>
      </c>
      <c r="I657" t="s">
        <v>2005</v>
      </c>
      <c r="J657" s="14" t="s">
        <v>73</v>
      </c>
      <c r="K657">
        <v>4</v>
      </c>
      <c r="L657" t="s">
        <v>28</v>
      </c>
      <c r="M657">
        <f>Table1[[#This Row],[UnitPrice]]*Table1[[#This Row],[Quantity]]</f>
        <v>42253</v>
      </c>
      <c r="N657">
        <f>Table1[[#This Row],[Total Price]]*Table1[[#This Row],[Discount]]</f>
        <v>14788.55</v>
      </c>
      <c r="O657">
        <f>Table1[[#This Row],[Total Price]]-Table1[[#This Row],[Discount Amount]]</f>
        <v>27464.45</v>
      </c>
    </row>
    <row r="658" spans="1:15" x14ac:dyDescent="0.3">
      <c r="A658" t="s">
        <v>2006</v>
      </c>
      <c r="B658" s="1">
        <v>45309</v>
      </c>
      <c r="C658" t="s">
        <v>2007</v>
      </c>
      <c r="D658" t="s">
        <v>12</v>
      </c>
      <c r="E658">
        <v>3</v>
      </c>
      <c r="F658">
        <v>5985</v>
      </c>
      <c r="G658" s="9">
        <v>0.26</v>
      </c>
      <c r="H658" t="s">
        <v>45</v>
      </c>
      <c r="I658" t="s">
        <v>2008</v>
      </c>
      <c r="J658" s="13" t="s">
        <v>14</v>
      </c>
      <c r="K658">
        <v>7</v>
      </c>
      <c r="L658" t="s">
        <v>33</v>
      </c>
      <c r="M658">
        <f>Table1[[#This Row],[UnitPrice]]*Table1[[#This Row],[Quantity]]</f>
        <v>17955</v>
      </c>
      <c r="N658">
        <f>Table1[[#This Row],[Total Price]]*Table1[[#This Row],[Discount]]</f>
        <v>4668.3</v>
      </c>
      <c r="O658">
        <f>Table1[[#This Row],[Total Price]]-Table1[[#This Row],[Discount Amount]]</f>
        <v>13286.7</v>
      </c>
    </row>
    <row r="659" spans="1:15" x14ac:dyDescent="0.3">
      <c r="A659" t="s">
        <v>2009</v>
      </c>
      <c r="B659" s="1">
        <v>45284</v>
      </c>
      <c r="C659" t="s">
        <v>2010</v>
      </c>
      <c r="D659" t="s">
        <v>25</v>
      </c>
      <c r="E659">
        <v>3</v>
      </c>
      <c r="F659">
        <v>10352</v>
      </c>
      <c r="G659" s="9">
        <v>0.08</v>
      </c>
      <c r="H659" t="s">
        <v>50</v>
      </c>
      <c r="I659" t="s">
        <v>2011</v>
      </c>
      <c r="J659" s="14" t="s">
        <v>14</v>
      </c>
      <c r="K659">
        <v>6</v>
      </c>
      <c r="L659" t="s">
        <v>16</v>
      </c>
      <c r="M659">
        <f>Table1[[#This Row],[UnitPrice]]*Table1[[#This Row],[Quantity]]</f>
        <v>31056</v>
      </c>
      <c r="N659">
        <f>Table1[[#This Row],[Total Price]]*Table1[[#This Row],[Discount]]</f>
        <v>2484.48</v>
      </c>
      <c r="O659">
        <f>Table1[[#This Row],[Total Price]]-Table1[[#This Row],[Discount Amount]]</f>
        <v>28571.52</v>
      </c>
    </row>
    <row r="660" spans="1:15" x14ac:dyDescent="0.3">
      <c r="A660" t="s">
        <v>2012</v>
      </c>
      <c r="B660" s="1">
        <v>45765</v>
      </c>
      <c r="C660" t="s">
        <v>2013</v>
      </c>
      <c r="D660" t="s">
        <v>36</v>
      </c>
      <c r="E660">
        <v>1</v>
      </c>
      <c r="F660">
        <v>8421</v>
      </c>
      <c r="G660" s="9">
        <v>7.0000000000000007E-2</v>
      </c>
      <c r="H660" t="s">
        <v>45</v>
      </c>
      <c r="I660" t="s">
        <v>2014</v>
      </c>
      <c r="J660" s="13" t="s">
        <v>14</v>
      </c>
      <c r="K660">
        <v>4</v>
      </c>
      <c r="L660" t="s">
        <v>60</v>
      </c>
      <c r="M660">
        <f>Table1[[#This Row],[UnitPrice]]*Table1[[#This Row],[Quantity]]</f>
        <v>8421</v>
      </c>
      <c r="N660">
        <f>Table1[[#This Row],[Total Price]]*Table1[[#This Row],[Discount]]</f>
        <v>589.47</v>
      </c>
      <c r="O660">
        <f>Table1[[#This Row],[Total Price]]-Table1[[#This Row],[Discount Amount]]</f>
        <v>7831.53</v>
      </c>
    </row>
    <row r="661" spans="1:15" x14ac:dyDescent="0.3">
      <c r="A661" t="s">
        <v>2015</v>
      </c>
      <c r="B661" s="1">
        <v>45591</v>
      </c>
      <c r="C661" t="s">
        <v>2016</v>
      </c>
      <c r="D661" t="s">
        <v>19</v>
      </c>
      <c r="E661">
        <v>3</v>
      </c>
      <c r="F661">
        <v>46212</v>
      </c>
      <c r="G661" s="9">
        <v>0.23</v>
      </c>
      <c r="H661" t="s">
        <v>45</v>
      </c>
      <c r="I661" t="s">
        <v>2017</v>
      </c>
      <c r="J661" s="14" t="s">
        <v>37</v>
      </c>
      <c r="K661">
        <v>4</v>
      </c>
      <c r="L661" t="s">
        <v>28</v>
      </c>
      <c r="M661">
        <f>Table1[[#This Row],[UnitPrice]]*Table1[[#This Row],[Quantity]]</f>
        <v>138636</v>
      </c>
      <c r="N661">
        <f>Table1[[#This Row],[Total Price]]*Table1[[#This Row],[Discount]]</f>
        <v>31886.280000000002</v>
      </c>
      <c r="O661">
        <f>Table1[[#This Row],[Total Price]]-Table1[[#This Row],[Discount Amount]]</f>
        <v>106749.72</v>
      </c>
    </row>
    <row r="662" spans="1:15" x14ac:dyDescent="0.3">
      <c r="A662" t="s">
        <v>2018</v>
      </c>
      <c r="B662" s="1">
        <v>45584</v>
      </c>
      <c r="C662" t="s">
        <v>2019</v>
      </c>
      <c r="D662" t="s">
        <v>31</v>
      </c>
      <c r="E662">
        <v>3</v>
      </c>
      <c r="F662">
        <v>23677</v>
      </c>
      <c r="G662" s="9">
        <v>0.36</v>
      </c>
      <c r="H662" t="s">
        <v>13</v>
      </c>
      <c r="I662" t="s">
        <v>2020</v>
      </c>
      <c r="J662" s="13" t="s">
        <v>14</v>
      </c>
      <c r="K662">
        <v>7</v>
      </c>
      <c r="L662" t="s">
        <v>33</v>
      </c>
      <c r="M662">
        <f>Table1[[#This Row],[UnitPrice]]*Table1[[#This Row],[Quantity]]</f>
        <v>71031</v>
      </c>
      <c r="N662">
        <f>Table1[[#This Row],[Total Price]]*Table1[[#This Row],[Discount]]</f>
        <v>25571.16</v>
      </c>
      <c r="O662">
        <f>Table1[[#This Row],[Total Price]]-Table1[[#This Row],[Discount Amount]]</f>
        <v>45459.839999999997</v>
      </c>
    </row>
    <row r="663" spans="1:15" x14ac:dyDescent="0.3">
      <c r="A663" t="s">
        <v>2021</v>
      </c>
      <c r="B663" s="1">
        <v>45716</v>
      </c>
      <c r="C663" t="s">
        <v>2022</v>
      </c>
      <c r="D663" t="s">
        <v>25</v>
      </c>
      <c r="E663">
        <v>2</v>
      </c>
      <c r="F663">
        <v>14616</v>
      </c>
      <c r="G663" s="9">
        <v>0.3</v>
      </c>
      <c r="H663" t="s">
        <v>13</v>
      </c>
      <c r="I663" t="s">
        <v>2023</v>
      </c>
      <c r="J663" s="14" t="s">
        <v>37</v>
      </c>
      <c r="K663">
        <v>6</v>
      </c>
      <c r="L663" t="s">
        <v>60</v>
      </c>
      <c r="M663">
        <f>Table1[[#This Row],[UnitPrice]]*Table1[[#This Row],[Quantity]]</f>
        <v>29232</v>
      </c>
      <c r="N663">
        <f>Table1[[#This Row],[Total Price]]*Table1[[#This Row],[Discount]]</f>
        <v>8769.6</v>
      </c>
      <c r="O663">
        <f>Table1[[#This Row],[Total Price]]-Table1[[#This Row],[Discount Amount]]</f>
        <v>20462.400000000001</v>
      </c>
    </row>
    <row r="664" spans="1:15" x14ac:dyDescent="0.3">
      <c r="A664" t="s">
        <v>2024</v>
      </c>
      <c r="B664" s="1">
        <v>44954</v>
      </c>
      <c r="C664" t="s">
        <v>2025</v>
      </c>
      <c r="D664" t="s">
        <v>44</v>
      </c>
      <c r="E664">
        <v>3</v>
      </c>
      <c r="F664">
        <v>47896</v>
      </c>
      <c r="G664" s="9">
        <v>0.43</v>
      </c>
      <c r="H664" t="s">
        <v>50</v>
      </c>
      <c r="I664" t="s">
        <v>2026</v>
      </c>
      <c r="J664" s="13" t="s">
        <v>37</v>
      </c>
      <c r="K664">
        <v>3</v>
      </c>
      <c r="L664" t="s">
        <v>33</v>
      </c>
      <c r="M664">
        <f>Table1[[#This Row],[UnitPrice]]*Table1[[#This Row],[Quantity]]</f>
        <v>143688</v>
      </c>
      <c r="N664">
        <f>Table1[[#This Row],[Total Price]]*Table1[[#This Row],[Discount]]</f>
        <v>61785.84</v>
      </c>
      <c r="O664">
        <f>Table1[[#This Row],[Total Price]]-Table1[[#This Row],[Discount Amount]]</f>
        <v>81902.16</v>
      </c>
    </row>
    <row r="665" spans="1:15" x14ac:dyDescent="0.3">
      <c r="A665" t="s">
        <v>2027</v>
      </c>
      <c r="B665" s="1">
        <v>45397</v>
      </c>
      <c r="C665" t="s">
        <v>2028</v>
      </c>
      <c r="D665" t="s">
        <v>12</v>
      </c>
      <c r="E665">
        <v>2</v>
      </c>
      <c r="F665">
        <v>2816</v>
      </c>
      <c r="G665" s="9">
        <v>0.19</v>
      </c>
      <c r="H665" t="s">
        <v>13</v>
      </c>
      <c r="I665" t="s">
        <v>2029</v>
      </c>
      <c r="J665" s="14" t="s">
        <v>73</v>
      </c>
      <c r="K665">
        <v>6</v>
      </c>
      <c r="L665" t="s">
        <v>16</v>
      </c>
      <c r="M665">
        <f>Table1[[#This Row],[UnitPrice]]*Table1[[#This Row],[Quantity]]</f>
        <v>5632</v>
      </c>
      <c r="N665">
        <f>Table1[[#This Row],[Total Price]]*Table1[[#This Row],[Discount]]</f>
        <v>1070.08</v>
      </c>
      <c r="O665">
        <f>Table1[[#This Row],[Total Price]]-Table1[[#This Row],[Discount Amount]]</f>
        <v>4561.92</v>
      </c>
    </row>
    <row r="666" spans="1:15" x14ac:dyDescent="0.3">
      <c r="A666" t="s">
        <v>2030</v>
      </c>
      <c r="B666" s="1">
        <v>45645</v>
      </c>
      <c r="C666" t="s">
        <v>748</v>
      </c>
      <c r="D666" t="s">
        <v>44</v>
      </c>
      <c r="E666">
        <v>2</v>
      </c>
      <c r="F666">
        <v>44325</v>
      </c>
      <c r="G666" s="9">
        <v>0.42</v>
      </c>
      <c r="H666" t="s">
        <v>50</v>
      </c>
      <c r="I666" t="s">
        <v>2031</v>
      </c>
      <c r="J666" s="13" t="s">
        <v>14</v>
      </c>
      <c r="K666">
        <v>5</v>
      </c>
      <c r="L666" t="s">
        <v>33</v>
      </c>
      <c r="M666">
        <f>Table1[[#This Row],[UnitPrice]]*Table1[[#This Row],[Quantity]]</f>
        <v>88650</v>
      </c>
      <c r="N666">
        <f>Table1[[#This Row],[Total Price]]*Table1[[#This Row],[Discount]]</f>
        <v>37233</v>
      </c>
      <c r="O666">
        <f>Table1[[#This Row],[Total Price]]-Table1[[#This Row],[Discount Amount]]</f>
        <v>51417</v>
      </c>
    </row>
    <row r="667" spans="1:15" x14ac:dyDescent="0.3">
      <c r="A667" t="s">
        <v>2032</v>
      </c>
      <c r="B667" s="1">
        <v>45048</v>
      </c>
      <c r="C667" t="s">
        <v>2033</v>
      </c>
      <c r="D667" t="s">
        <v>25</v>
      </c>
      <c r="E667">
        <v>1</v>
      </c>
      <c r="F667">
        <v>13006</v>
      </c>
      <c r="G667" s="9">
        <v>0.02</v>
      </c>
      <c r="H667" t="s">
        <v>20</v>
      </c>
      <c r="I667" t="s">
        <v>2034</v>
      </c>
      <c r="J667" s="14" t="s">
        <v>14</v>
      </c>
      <c r="K667">
        <v>6</v>
      </c>
      <c r="L667" t="s">
        <v>60</v>
      </c>
      <c r="M667">
        <f>Table1[[#This Row],[UnitPrice]]*Table1[[#This Row],[Quantity]]</f>
        <v>13006</v>
      </c>
      <c r="N667">
        <f>Table1[[#This Row],[Total Price]]*Table1[[#This Row],[Discount]]</f>
        <v>260.12</v>
      </c>
      <c r="O667">
        <f>Table1[[#This Row],[Total Price]]-Table1[[#This Row],[Discount Amount]]</f>
        <v>12745.88</v>
      </c>
    </row>
    <row r="668" spans="1:15" x14ac:dyDescent="0.3">
      <c r="A668" t="s">
        <v>2035</v>
      </c>
      <c r="B668" s="1">
        <v>45535</v>
      </c>
      <c r="C668" t="s">
        <v>2036</v>
      </c>
      <c r="D668" t="s">
        <v>12</v>
      </c>
      <c r="E668">
        <v>1</v>
      </c>
      <c r="F668">
        <v>4799</v>
      </c>
      <c r="G668" s="9">
        <v>0.18</v>
      </c>
      <c r="H668" t="s">
        <v>26</v>
      </c>
      <c r="I668" t="s">
        <v>2037</v>
      </c>
      <c r="J668" s="13" t="s">
        <v>37</v>
      </c>
      <c r="K668">
        <v>4</v>
      </c>
      <c r="L668" t="s">
        <v>28</v>
      </c>
      <c r="M668">
        <f>Table1[[#This Row],[UnitPrice]]*Table1[[#This Row],[Quantity]]</f>
        <v>4799</v>
      </c>
      <c r="N668">
        <f>Table1[[#This Row],[Total Price]]*Table1[[#This Row],[Discount]]</f>
        <v>863.81999999999994</v>
      </c>
      <c r="O668">
        <f>Table1[[#This Row],[Total Price]]-Table1[[#This Row],[Discount Amount]]</f>
        <v>3935.1800000000003</v>
      </c>
    </row>
    <row r="669" spans="1:15" x14ac:dyDescent="0.3">
      <c r="A669" t="s">
        <v>2038</v>
      </c>
      <c r="B669" s="1">
        <v>45049</v>
      </c>
      <c r="C669" t="s">
        <v>2039</v>
      </c>
      <c r="D669" t="s">
        <v>44</v>
      </c>
      <c r="E669">
        <v>3</v>
      </c>
      <c r="F669">
        <v>47973</v>
      </c>
      <c r="G669" s="9">
        <v>0.04</v>
      </c>
      <c r="H669" t="s">
        <v>45</v>
      </c>
      <c r="I669" t="s">
        <v>2040</v>
      </c>
      <c r="J669" s="14" t="s">
        <v>73</v>
      </c>
      <c r="K669">
        <v>5</v>
      </c>
      <c r="L669" t="s">
        <v>28</v>
      </c>
      <c r="M669">
        <f>Table1[[#This Row],[UnitPrice]]*Table1[[#This Row],[Quantity]]</f>
        <v>143919</v>
      </c>
      <c r="N669">
        <f>Table1[[#This Row],[Total Price]]*Table1[[#This Row],[Discount]]</f>
        <v>5756.76</v>
      </c>
      <c r="O669">
        <f>Table1[[#This Row],[Total Price]]-Table1[[#This Row],[Discount Amount]]</f>
        <v>138162.23999999999</v>
      </c>
    </row>
    <row r="670" spans="1:15" x14ac:dyDescent="0.3">
      <c r="A670" t="s">
        <v>2041</v>
      </c>
      <c r="B670" s="1">
        <v>45478</v>
      </c>
      <c r="C670" t="s">
        <v>2042</v>
      </c>
      <c r="D670" t="s">
        <v>12</v>
      </c>
      <c r="E670">
        <v>3</v>
      </c>
      <c r="F670">
        <v>8736</v>
      </c>
      <c r="G670" s="9">
        <v>0.46</v>
      </c>
      <c r="H670" t="s">
        <v>50</v>
      </c>
      <c r="I670" t="s">
        <v>2043</v>
      </c>
      <c r="J670" s="13" t="s">
        <v>37</v>
      </c>
      <c r="K670">
        <v>3</v>
      </c>
      <c r="L670" t="s">
        <v>33</v>
      </c>
      <c r="M670">
        <f>Table1[[#This Row],[UnitPrice]]*Table1[[#This Row],[Quantity]]</f>
        <v>26208</v>
      </c>
      <c r="N670">
        <f>Table1[[#This Row],[Total Price]]*Table1[[#This Row],[Discount]]</f>
        <v>12055.68</v>
      </c>
      <c r="O670">
        <f>Table1[[#This Row],[Total Price]]-Table1[[#This Row],[Discount Amount]]</f>
        <v>14152.32</v>
      </c>
    </row>
    <row r="671" spans="1:15" x14ac:dyDescent="0.3">
      <c r="A671" t="s">
        <v>2044</v>
      </c>
      <c r="B671" s="1">
        <v>44962</v>
      </c>
      <c r="C671" t="s">
        <v>2045</v>
      </c>
      <c r="D671" t="s">
        <v>58</v>
      </c>
      <c r="E671">
        <v>1</v>
      </c>
      <c r="F671">
        <v>1519</v>
      </c>
      <c r="G671" s="9">
        <v>0.24</v>
      </c>
      <c r="H671" t="s">
        <v>13</v>
      </c>
      <c r="I671" t="s">
        <v>2046</v>
      </c>
      <c r="J671" s="14" t="s">
        <v>14</v>
      </c>
      <c r="K671">
        <v>5</v>
      </c>
      <c r="L671" t="s">
        <v>22</v>
      </c>
      <c r="M671">
        <f>Table1[[#This Row],[UnitPrice]]*Table1[[#This Row],[Quantity]]</f>
        <v>1519</v>
      </c>
      <c r="N671">
        <f>Table1[[#This Row],[Total Price]]*Table1[[#This Row],[Discount]]</f>
        <v>364.56</v>
      </c>
      <c r="O671">
        <f>Table1[[#This Row],[Total Price]]-Table1[[#This Row],[Discount Amount]]</f>
        <v>1154.44</v>
      </c>
    </row>
    <row r="672" spans="1:15" x14ac:dyDescent="0.3">
      <c r="A672" t="s">
        <v>2047</v>
      </c>
      <c r="B672" s="1">
        <v>45400</v>
      </c>
      <c r="C672" t="s">
        <v>2048</v>
      </c>
      <c r="D672" t="s">
        <v>58</v>
      </c>
      <c r="E672">
        <v>1</v>
      </c>
      <c r="F672">
        <v>9000</v>
      </c>
      <c r="G672" s="9">
        <v>0.16</v>
      </c>
      <c r="H672" t="s">
        <v>26</v>
      </c>
      <c r="I672" t="s">
        <v>2049</v>
      </c>
      <c r="J672" s="13" t="s">
        <v>73</v>
      </c>
      <c r="K672">
        <v>8</v>
      </c>
      <c r="L672" t="s">
        <v>60</v>
      </c>
      <c r="M672">
        <f>Table1[[#This Row],[UnitPrice]]*Table1[[#This Row],[Quantity]]</f>
        <v>9000</v>
      </c>
      <c r="N672">
        <f>Table1[[#This Row],[Total Price]]*Table1[[#This Row],[Discount]]</f>
        <v>1440</v>
      </c>
      <c r="O672">
        <f>Table1[[#This Row],[Total Price]]-Table1[[#This Row],[Discount Amount]]</f>
        <v>7560</v>
      </c>
    </row>
    <row r="673" spans="1:15" x14ac:dyDescent="0.3">
      <c r="A673" t="s">
        <v>2050</v>
      </c>
      <c r="B673" s="1">
        <v>45092</v>
      </c>
      <c r="C673" t="s">
        <v>2051</v>
      </c>
      <c r="D673" t="s">
        <v>31</v>
      </c>
      <c r="E673">
        <v>3</v>
      </c>
      <c r="F673">
        <v>49381</v>
      </c>
      <c r="G673" s="9">
        <v>0.25</v>
      </c>
      <c r="H673" t="s">
        <v>45</v>
      </c>
      <c r="I673" t="s">
        <v>2052</v>
      </c>
      <c r="J673" s="14" t="s">
        <v>73</v>
      </c>
      <c r="K673">
        <v>7</v>
      </c>
      <c r="L673" t="s">
        <v>60</v>
      </c>
      <c r="M673">
        <f>Table1[[#This Row],[UnitPrice]]*Table1[[#This Row],[Quantity]]</f>
        <v>148143</v>
      </c>
      <c r="N673">
        <f>Table1[[#This Row],[Total Price]]*Table1[[#This Row],[Discount]]</f>
        <v>37035.75</v>
      </c>
      <c r="O673">
        <f>Table1[[#This Row],[Total Price]]-Table1[[#This Row],[Discount Amount]]</f>
        <v>111107.25</v>
      </c>
    </row>
    <row r="674" spans="1:15" x14ac:dyDescent="0.3">
      <c r="A674" t="s">
        <v>2053</v>
      </c>
      <c r="B674" s="1">
        <v>45055</v>
      </c>
      <c r="C674" t="s">
        <v>2054</v>
      </c>
      <c r="D674" t="s">
        <v>19</v>
      </c>
      <c r="E674">
        <v>3</v>
      </c>
      <c r="F674">
        <v>28463</v>
      </c>
      <c r="G674" s="9">
        <v>0.27</v>
      </c>
      <c r="H674" t="s">
        <v>13</v>
      </c>
      <c r="I674" t="s">
        <v>2055</v>
      </c>
      <c r="J674" s="13" t="s">
        <v>14</v>
      </c>
      <c r="K674">
        <v>2</v>
      </c>
      <c r="L674" t="s">
        <v>16</v>
      </c>
      <c r="M674">
        <f>Table1[[#This Row],[UnitPrice]]*Table1[[#This Row],[Quantity]]</f>
        <v>85389</v>
      </c>
      <c r="N674">
        <f>Table1[[#This Row],[Total Price]]*Table1[[#This Row],[Discount]]</f>
        <v>23055.030000000002</v>
      </c>
      <c r="O674">
        <f>Table1[[#This Row],[Total Price]]-Table1[[#This Row],[Discount Amount]]</f>
        <v>62333.97</v>
      </c>
    </row>
    <row r="675" spans="1:15" x14ac:dyDescent="0.3">
      <c r="A675" t="s">
        <v>2056</v>
      </c>
      <c r="B675" s="1">
        <v>44978</v>
      </c>
      <c r="C675" t="s">
        <v>2057</v>
      </c>
      <c r="D675" t="s">
        <v>25</v>
      </c>
      <c r="E675">
        <v>1</v>
      </c>
      <c r="F675">
        <v>8379</v>
      </c>
      <c r="G675" s="9">
        <v>0.42</v>
      </c>
      <c r="H675" t="s">
        <v>26</v>
      </c>
      <c r="I675" t="s">
        <v>2058</v>
      </c>
      <c r="J675" s="14" t="s">
        <v>37</v>
      </c>
      <c r="K675">
        <v>7</v>
      </c>
      <c r="L675" t="s">
        <v>28</v>
      </c>
      <c r="M675">
        <f>Table1[[#This Row],[UnitPrice]]*Table1[[#This Row],[Quantity]]</f>
        <v>8379</v>
      </c>
      <c r="N675">
        <f>Table1[[#This Row],[Total Price]]*Table1[[#This Row],[Discount]]</f>
        <v>3519.18</v>
      </c>
      <c r="O675">
        <f>Table1[[#This Row],[Total Price]]-Table1[[#This Row],[Discount Amount]]</f>
        <v>4859.82</v>
      </c>
    </row>
    <row r="676" spans="1:15" x14ac:dyDescent="0.3">
      <c r="A676" t="s">
        <v>2059</v>
      </c>
      <c r="B676" s="1">
        <v>45300</v>
      </c>
      <c r="C676" t="s">
        <v>2060</v>
      </c>
      <c r="D676" t="s">
        <v>44</v>
      </c>
      <c r="E676">
        <v>2</v>
      </c>
      <c r="F676">
        <v>54332</v>
      </c>
      <c r="G676" s="9">
        <v>0.27</v>
      </c>
      <c r="H676" t="s">
        <v>45</v>
      </c>
      <c r="I676" t="s">
        <v>2061</v>
      </c>
      <c r="J676" s="13" t="s">
        <v>37</v>
      </c>
      <c r="K676">
        <v>9</v>
      </c>
      <c r="L676" t="s">
        <v>33</v>
      </c>
      <c r="M676">
        <f>Table1[[#This Row],[UnitPrice]]*Table1[[#This Row],[Quantity]]</f>
        <v>108664</v>
      </c>
      <c r="N676">
        <f>Table1[[#This Row],[Total Price]]*Table1[[#This Row],[Discount]]</f>
        <v>29339.280000000002</v>
      </c>
      <c r="O676">
        <f>Table1[[#This Row],[Total Price]]-Table1[[#This Row],[Discount Amount]]</f>
        <v>79324.72</v>
      </c>
    </row>
    <row r="677" spans="1:15" x14ac:dyDescent="0.3">
      <c r="A677" t="s">
        <v>2062</v>
      </c>
      <c r="B677" s="1">
        <v>45510</v>
      </c>
      <c r="C677" t="s">
        <v>2063</v>
      </c>
      <c r="D677" t="s">
        <v>58</v>
      </c>
      <c r="E677">
        <v>1</v>
      </c>
      <c r="F677">
        <v>9471</v>
      </c>
      <c r="G677" s="9">
        <v>0.22</v>
      </c>
      <c r="H677" t="s">
        <v>13</v>
      </c>
      <c r="I677" t="s">
        <v>2064</v>
      </c>
      <c r="J677" s="14" t="s">
        <v>73</v>
      </c>
      <c r="K677">
        <v>5</v>
      </c>
      <c r="L677" t="s">
        <v>28</v>
      </c>
      <c r="M677">
        <f>Table1[[#This Row],[UnitPrice]]*Table1[[#This Row],[Quantity]]</f>
        <v>9471</v>
      </c>
      <c r="N677">
        <f>Table1[[#This Row],[Total Price]]*Table1[[#This Row],[Discount]]</f>
        <v>2083.62</v>
      </c>
      <c r="O677">
        <f>Table1[[#This Row],[Total Price]]-Table1[[#This Row],[Discount Amount]]</f>
        <v>7387.38</v>
      </c>
    </row>
    <row r="678" spans="1:15" x14ac:dyDescent="0.3">
      <c r="A678" t="s">
        <v>2065</v>
      </c>
      <c r="B678" s="1">
        <v>45831</v>
      </c>
      <c r="C678" t="s">
        <v>2066</v>
      </c>
      <c r="D678" t="s">
        <v>44</v>
      </c>
      <c r="E678">
        <v>2</v>
      </c>
      <c r="F678">
        <v>38438</v>
      </c>
      <c r="G678" s="9">
        <v>0.48</v>
      </c>
      <c r="H678" t="s">
        <v>26</v>
      </c>
      <c r="I678" t="s">
        <v>2067</v>
      </c>
      <c r="J678" s="13" t="s">
        <v>37</v>
      </c>
      <c r="K678">
        <v>4</v>
      </c>
      <c r="L678" t="s">
        <v>16</v>
      </c>
      <c r="M678">
        <f>Table1[[#This Row],[UnitPrice]]*Table1[[#This Row],[Quantity]]</f>
        <v>76876</v>
      </c>
      <c r="N678">
        <f>Table1[[#This Row],[Total Price]]*Table1[[#This Row],[Discount]]</f>
        <v>36900.479999999996</v>
      </c>
      <c r="O678">
        <f>Table1[[#This Row],[Total Price]]-Table1[[#This Row],[Discount Amount]]</f>
        <v>39975.520000000004</v>
      </c>
    </row>
    <row r="679" spans="1:15" x14ac:dyDescent="0.3">
      <c r="A679" t="s">
        <v>2068</v>
      </c>
      <c r="B679" s="1">
        <v>45750</v>
      </c>
      <c r="C679" t="s">
        <v>2069</v>
      </c>
      <c r="D679" t="s">
        <v>25</v>
      </c>
      <c r="E679">
        <v>3</v>
      </c>
      <c r="F679">
        <v>2165</v>
      </c>
      <c r="G679" s="9">
        <v>0.48</v>
      </c>
      <c r="H679" t="s">
        <v>20</v>
      </c>
      <c r="I679" t="s">
        <v>2070</v>
      </c>
      <c r="J679" s="14" t="s">
        <v>37</v>
      </c>
      <c r="K679">
        <v>7</v>
      </c>
      <c r="L679" t="s">
        <v>16</v>
      </c>
      <c r="M679">
        <f>Table1[[#This Row],[UnitPrice]]*Table1[[#This Row],[Quantity]]</f>
        <v>6495</v>
      </c>
      <c r="N679">
        <f>Table1[[#This Row],[Total Price]]*Table1[[#This Row],[Discount]]</f>
        <v>3117.6</v>
      </c>
      <c r="O679">
        <f>Table1[[#This Row],[Total Price]]-Table1[[#This Row],[Discount Amount]]</f>
        <v>3377.4</v>
      </c>
    </row>
    <row r="680" spans="1:15" x14ac:dyDescent="0.3">
      <c r="A680" t="s">
        <v>2071</v>
      </c>
      <c r="B680" s="1">
        <v>45620</v>
      </c>
      <c r="C680" t="s">
        <v>2072</v>
      </c>
      <c r="D680" t="s">
        <v>31</v>
      </c>
      <c r="E680">
        <v>1</v>
      </c>
      <c r="F680">
        <v>38028</v>
      </c>
      <c r="G680" s="9">
        <v>0.02</v>
      </c>
      <c r="H680" t="s">
        <v>45</v>
      </c>
      <c r="I680" t="s">
        <v>2073</v>
      </c>
      <c r="J680" s="13" t="s">
        <v>14</v>
      </c>
      <c r="K680">
        <v>5</v>
      </c>
      <c r="L680" t="s">
        <v>33</v>
      </c>
      <c r="M680">
        <f>Table1[[#This Row],[UnitPrice]]*Table1[[#This Row],[Quantity]]</f>
        <v>38028</v>
      </c>
      <c r="N680">
        <f>Table1[[#This Row],[Total Price]]*Table1[[#This Row],[Discount]]</f>
        <v>760.56000000000006</v>
      </c>
      <c r="O680">
        <f>Table1[[#This Row],[Total Price]]-Table1[[#This Row],[Discount Amount]]</f>
        <v>37267.440000000002</v>
      </c>
    </row>
    <row r="681" spans="1:15" x14ac:dyDescent="0.3">
      <c r="A681" t="s">
        <v>2074</v>
      </c>
      <c r="B681" s="1">
        <v>44959</v>
      </c>
      <c r="C681" t="s">
        <v>2075</v>
      </c>
      <c r="D681" t="s">
        <v>25</v>
      </c>
      <c r="E681">
        <v>2</v>
      </c>
      <c r="F681">
        <v>10247</v>
      </c>
      <c r="G681" s="9">
        <v>0.35</v>
      </c>
      <c r="H681" t="s">
        <v>20</v>
      </c>
      <c r="I681" t="s">
        <v>2076</v>
      </c>
      <c r="J681" s="14" t="s">
        <v>37</v>
      </c>
      <c r="K681">
        <v>5</v>
      </c>
      <c r="L681" t="s">
        <v>16</v>
      </c>
      <c r="M681">
        <f>Table1[[#This Row],[UnitPrice]]*Table1[[#This Row],[Quantity]]</f>
        <v>20494</v>
      </c>
      <c r="N681">
        <f>Table1[[#This Row],[Total Price]]*Table1[[#This Row],[Discount]]</f>
        <v>7172.9</v>
      </c>
      <c r="O681">
        <f>Table1[[#This Row],[Total Price]]-Table1[[#This Row],[Discount Amount]]</f>
        <v>13321.1</v>
      </c>
    </row>
    <row r="682" spans="1:15" x14ac:dyDescent="0.3">
      <c r="A682" t="s">
        <v>2077</v>
      </c>
      <c r="B682" s="1">
        <v>45165</v>
      </c>
      <c r="C682" t="s">
        <v>2078</v>
      </c>
      <c r="D682" t="s">
        <v>12</v>
      </c>
      <c r="E682">
        <v>3</v>
      </c>
      <c r="F682">
        <v>3807</v>
      </c>
      <c r="G682" s="9">
        <v>0.19</v>
      </c>
      <c r="H682" t="s">
        <v>26</v>
      </c>
      <c r="I682" t="s">
        <v>2079</v>
      </c>
      <c r="J682" s="13" t="s">
        <v>37</v>
      </c>
      <c r="K682">
        <v>3</v>
      </c>
      <c r="L682" t="s">
        <v>33</v>
      </c>
      <c r="M682">
        <f>Table1[[#This Row],[UnitPrice]]*Table1[[#This Row],[Quantity]]</f>
        <v>11421</v>
      </c>
      <c r="N682">
        <f>Table1[[#This Row],[Total Price]]*Table1[[#This Row],[Discount]]</f>
        <v>2169.9900000000002</v>
      </c>
      <c r="O682">
        <f>Table1[[#This Row],[Total Price]]-Table1[[#This Row],[Discount Amount]]</f>
        <v>9251.01</v>
      </c>
    </row>
    <row r="683" spans="1:15" x14ac:dyDescent="0.3">
      <c r="A683" t="s">
        <v>2080</v>
      </c>
      <c r="B683" s="1">
        <v>45321</v>
      </c>
      <c r="C683" t="s">
        <v>2081</v>
      </c>
      <c r="D683" t="s">
        <v>25</v>
      </c>
      <c r="E683">
        <v>2</v>
      </c>
      <c r="F683">
        <v>9131</v>
      </c>
      <c r="G683" s="9">
        <v>0.34</v>
      </c>
      <c r="H683" t="s">
        <v>13</v>
      </c>
      <c r="I683" t="s">
        <v>2082</v>
      </c>
      <c r="J683" s="14" t="s">
        <v>14</v>
      </c>
      <c r="K683">
        <v>6</v>
      </c>
      <c r="L683" t="s">
        <v>28</v>
      </c>
      <c r="M683">
        <f>Table1[[#This Row],[UnitPrice]]*Table1[[#This Row],[Quantity]]</f>
        <v>18262</v>
      </c>
      <c r="N683">
        <f>Table1[[#This Row],[Total Price]]*Table1[[#This Row],[Discount]]</f>
        <v>6209.0800000000008</v>
      </c>
      <c r="O683">
        <f>Table1[[#This Row],[Total Price]]-Table1[[#This Row],[Discount Amount]]</f>
        <v>12052.919999999998</v>
      </c>
    </row>
    <row r="684" spans="1:15" x14ac:dyDescent="0.3">
      <c r="A684" t="s">
        <v>2083</v>
      </c>
      <c r="B684" s="1">
        <v>45130</v>
      </c>
      <c r="C684" t="s">
        <v>2084</v>
      </c>
      <c r="D684" t="s">
        <v>12</v>
      </c>
      <c r="E684">
        <v>2</v>
      </c>
      <c r="F684">
        <v>4886</v>
      </c>
      <c r="G684" s="9">
        <v>0.32</v>
      </c>
      <c r="H684" t="s">
        <v>26</v>
      </c>
      <c r="I684" t="s">
        <v>2085</v>
      </c>
      <c r="J684" s="13" t="s">
        <v>37</v>
      </c>
      <c r="K684">
        <v>5</v>
      </c>
      <c r="L684" t="s">
        <v>60</v>
      </c>
      <c r="M684">
        <f>Table1[[#This Row],[UnitPrice]]*Table1[[#This Row],[Quantity]]</f>
        <v>9772</v>
      </c>
      <c r="N684">
        <f>Table1[[#This Row],[Total Price]]*Table1[[#This Row],[Discount]]</f>
        <v>3127.04</v>
      </c>
      <c r="O684">
        <f>Table1[[#This Row],[Total Price]]-Table1[[#This Row],[Discount Amount]]</f>
        <v>6644.96</v>
      </c>
    </row>
    <row r="685" spans="1:15" x14ac:dyDescent="0.3">
      <c r="A685" t="s">
        <v>2086</v>
      </c>
      <c r="B685" s="1">
        <v>45795</v>
      </c>
      <c r="C685" t="s">
        <v>2087</v>
      </c>
      <c r="D685" t="s">
        <v>58</v>
      </c>
      <c r="E685">
        <v>3</v>
      </c>
      <c r="F685">
        <v>4959</v>
      </c>
      <c r="G685" s="9">
        <v>0.17</v>
      </c>
      <c r="H685" t="s">
        <v>50</v>
      </c>
      <c r="I685" t="s">
        <v>2088</v>
      </c>
      <c r="J685" s="14" t="s">
        <v>73</v>
      </c>
      <c r="K685">
        <v>5</v>
      </c>
      <c r="L685" t="s">
        <v>16</v>
      </c>
      <c r="M685">
        <f>Table1[[#This Row],[UnitPrice]]*Table1[[#This Row],[Quantity]]</f>
        <v>14877</v>
      </c>
      <c r="N685">
        <f>Table1[[#This Row],[Total Price]]*Table1[[#This Row],[Discount]]</f>
        <v>2529.09</v>
      </c>
      <c r="O685">
        <f>Table1[[#This Row],[Total Price]]-Table1[[#This Row],[Discount Amount]]</f>
        <v>12347.91</v>
      </c>
    </row>
    <row r="686" spans="1:15" x14ac:dyDescent="0.3">
      <c r="A686" t="s">
        <v>2089</v>
      </c>
      <c r="B686" s="1">
        <v>45557</v>
      </c>
      <c r="C686" t="s">
        <v>2090</v>
      </c>
      <c r="D686" t="s">
        <v>36</v>
      </c>
      <c r="E686">
        <v>1</v>
      </c>
      <c r="F686">
        <v>9269</v>
      </c>
      <c r="G686" s="9">
        <v>0.49</v>
      </c>
      <c r="H686" t="s">
        <v>26</v>
      </c>
      <c r="I686" t="s">
        <v>2091</v>
      </c>
      <c r="J686" s="13" t="s">
        <v>14</v>
      </c>
      <c r="K686">
        <v>8</v>
      </c>
      <c r="L686" t="s">
        <v>28</v>
      </c>
      <c r="M686">
        <f>Table1[[#This Row],[UnitPrice]]*Table1[[#This Row],[Quantity]]</f>
        <v>9269</v>
      </c>
      <c r="N686">
        <f>Table1[[#This Row],[Total Price]]*Table1[[#This Row],[Discount]]</f>
        <v>4541.8099999999995</v>
      </c>
      <c r="O686">
        <f>Table1[[#This Row],[Total Price]]-Table1[[#This Row],[Discount Amount]]</f>
        <v>4727.1900000000005</v>
      </c>
    </row>
    <row r="687" spans="1:15" x14ac:dyDescent="0.3">
      <c r="A687" t="s">
        <v>2092</v>
      </c>
      <c r="B687" s="1">
        <v>45695</v>
      </c>
      <c r="C687" t="s">
        <v>2093</v>
      </c>
      <c r="D687" t="s">
        <v>58</v>
      </c>
      <c r="E687">
        <v>3</v>
      </c>
      <c r="F687">
        <v>8955</v>
      </c>
      <c r="G687" s="9">
        <v>0.18</v>
      </c>
      <c r="H687" t="s">
        <v>13</v>
      </c>
      <c r="I687" t="s">
        <v>2094</v>
      </c>
      <c r="J687" s="14" t="s">
        <v>14</v>
      </c>
      <c r="K687">
        <v>5</v>
      </c>
      <c r="L687" t="s">
        <v>28</v>
      </c>
      <c r="M687">
        <f>Table1[[#This Row],[UnitPrice]]*Table1[[#This Row],[Quantity]]</f>
        <v>26865</v>
      </c>
      <c r="N687">
        <f>Table1[[#This Row],[Total Price]]*Table1[[#This Row],[Discount]]</f>
        <v>4835.7</v>
      </c>
      <c r="O687">
        <f>Table1[[#This Row],[Total Price]]-Table1[[#This Row],[Discount Amount]]</f>
        <v>22029.3</v>
      </c>
    </row>
    <row r="688" spans="1:15" x14ac:dyDescent="0.3">
      <c r="A688" t="s">
        <v>2095</v>
      </c>
      <c r="B688" s="1">
        <v>45208</v>
      </c>
      <c r="C688" t="s">
        <v>2096</v>
      </c>
      <c r="D688" t="s">
        <v>58</v>
      </c>
      <c r="E688">
        <v>3</v>
      </c>
      <c r="F688">
        <v>7140</v>
      </c>
      <c r="G688" s="9">
        <v>0.32</v>
      </c>
      <c r="H688" t="s">
        <v>50</v>
      </c>
      <c r="I688" t="s">
        <v>2097</v>
      </c>
      <c r="J688" s="13" t="s">
        <v>73</v>
      </c>
      <c r="K688">
        <v>4</v>
      </c>
      <c r="L688" t="s">
        <v>33</v>
      </c>
      <c r="M688">
        <f>Table1[[#This Row],[UnitPrice]]*Table1[[#This Row],[Quantity]]</f>
        <v>21420</v>
      </c>
      <c r="N688">
        <f>Table1[[#This Row],[Total Price]]*Table1[[#This Row],[Discount]]</f>
        <v>6854.4000000000005</v>
      </c>
      <c r="O688">
        <f>Table1[[#This Row],[Total Price]]-Table1[[#This Row],[Discount Amount]]</f>
        <v>14565.599999999999</v>
      </c>
    </row>
    <row r="689" spans="1:15" x14ac:dyDescent="0.3">
      <c r="A689" t="s">
        <v>2098</v>
      </c>
      <c r="B689" s="1">
        <v>45182</v>
      </c>
      <c r="C689" t="s">
        <v>2099</v>
      </c>
      <c r="D689" t="s">
        <v>25</v>
      </c>
      <c r="E689">
        <v>2</v>
      </c>
      <c r="F689">
        <v>17506</v>
      </c>
      <c r="G689" s="9">
        <v>0.41</v>
      </c>
      <c r="H689" t="s">
        <v>45</v>
      </c>
      <c r="I689" t="s">
        <v>2100</v>
      </c>
      <c r="J689" s="14" t="s">
        <v>14</v>
      </c>
      <c r="K689">
        <v>5</v>
      </c>
      <c r="L689" t="s">
        <v>16</v>
      </c>
      <c r="M689">
        <f>Table1[[#This Row],[UnitPrice]]*Table1[[#This Row],[Quantity]]</f>
        <v>35012</v>
      </c>
      <c r="N689">
        <f>Table1[[#This Row],[Total Price]]*Table1[[#This Row],[Discount]]</f>
        <v>14354.919999999998</v>
      </c>
      <c r="O689">
        <f>Table1[[#This Row],[Total Price]]-Table1[[#This Row],[Discount Amount]]</f>
        <v>20657.080000000002</v>
      </c>
    </row>
    <row r="690" spans="1:15" x14ac:dyDescent="0.3">
      <c r="A690" t="s">
        <v>2101</v>
      </c>
      <c r="B690" s="1">
        <v>45357</v>
      </c>
      <c r="C690" t="s">
        <v>2102</v>
      </c>
      <c r="D690" t="s">
        <v>12</v>
      </c>
      <c r="E690">
        <v>1</v>
      </c>
      <c r="F690">
        <v>7419</v>
      </c>
      <c r="G690" s="9">
        <v>7.0000000000000007E-2</v>
      </c>
      <c r="H690" t="s">
        <v>26</v>
      </c>
      <c r="I690" t="s">
        <v>2103</v>
      </c>
      <c r="J690" s="13" t="s">
        <v>14</v>
      </c>
      <c r="K690">
        <v>8</v>
      </c>
      <c r="L690" t="s">
        <v>33</v>
      </c>
      <c r="M690">
        <f>Table1[[#This Row],[UnitPrice]]*Table1[[#This Row],[Quantity]]</f>
        <v>7419</v>
      </c>
      <c r="N690">
        <f>Table1[[#This Row],[Total Price]]*Table1[[#This Row],[Discount]]</f>
        <v>519.33000000000004</v>
      </c>
      <c r="O690">
        <f>Table1[[#This Row],[Total Price]]-Table1[[#This Row],[Discount Amount]]</f>
        <v>6899.67</v>
      </c>
    </row>
    <row r="691" spans="1:15" x14ac:dyDescent="0.3">
      <c r="A691" t="s">
        <v>2104</v>
      </c>
      <c r="B691" s="1">
        <v>45167</v>
      </c>
      <c r="C691" t="s">
        <v>2105</v>
      </c>
      <c r="D691" t="s">
        <v>25</v>
      </c>
      <c r="E691">
        <v>3</v>
      </c>
      <c r="F691">
        <v>15212</v>
      </c>
      <c r="G691" s="9">
        <v>0.15</v>
      </c>
      <c r="H691" t="s">
        <v>20</v>
      </c>
      <c r="I691" t="s">
        <v>2106</v>
      </c>
      <c r="J691" s="14" t="s">
        <v>14</v>
      </c>
      <c r="K691">
        <v>7</v>
      </c>
      <c r="L691" t="s">
        <v>33</v>
      </c>
      <c r="M691">
        <f>Table1[[#This Row],[UnitPrice]]*Table1[[#This Row],[Quantity]]</f>
        <v>45636</v>
      </c>
      <c r="N691">
        <f>Table1[[#This Row],[Total Price]]*Table1[[#This Row],[Discount]]</f>
        <v>6845.4</v>
      </c>
      <c r="O691">
        <f>Table1[[#This Row],[Total Price]]-Table1[[#This Row],[Discount Amount]]</f>
        <v>38790.6</v>
      </c>
    </row>
    <row r="692" spans="1:15" x14ac:dyDescent="0.3">
      <c r="A692" t="s">
        <v>2107</v>
      </c>
      <c r="B692" s="1">
        <v>45485</v>
      </c>
      <c r="C692" t="s">
        <v>2108</v>
      </c>
      <c r="D692" t="s">
        <v>12</v>
      </c>
      <c r="E692">
        <v>3</v>
      </c>
      <c r="F692">
        <v>2675</v>
      </c>
      <c r="G692" s="9">
        <v>0.1</v>
      </c>
      <c r="H692" t="s">
        <v>45</v>
      </c>
      <c r="I692" t="s">
        <v>2109</v>
      </c>
      <c r="J692" s="13" t="s">
        <v>37</v>
      </c>
      <c r="K692">
        <v>1</v>
      </c>
      <c r="L692" t="s">
        <v>16</v>
      </c>
      <c r="M692">
        <f>Table1[[#This Row],[UnitPrice]]*Table1[[#This Row],[Quantity]]</f>
        <v>8025</v>
      </c>
      <c r="N692">
        <f>Table1[[#This Row],[Total Price]]*Table1[[#This Row],[Discount]]</f>
        <v>802.5</v>
      </c>
      <c r="O692">
        <f>Table1[[#This Row],[Total Price]]-Table1[[#This Row],[Discount Amount]]</f>
        <v>7222.5</v>
      </c>
    </row>
    <row r="693" spans="1:15" x14ac:dyDescent="0.3">
      <c r="A693" t="s">
        <v>2110</v>
      </c>
      <c r="B693" s="1">
        <v>45620</v>
      </c>
      <c r="C693" t="s">
        <v>2111</v>
      </c>
      <c r="D693" t="s">
        <v>44</v>
      </c>
      <c r="E693">
        <v>1</v>
      </c>
      <c r="F693">
        <v>73502</v>
      </c>
      <c r="G693" s="9">
        <v>0.39</v>
      </c>
      <c r="H693" t="s">
        <v>50</v>
      </c>
      <c r="I693" t="s">
        <v>2112</v>
      </c>
      <c r="J693" s="14" t="s">
        <v>14</v>
      </c>
      <c r="K693">
        <v>8</v>
      </c>
      <c r="L693" t="s">
        <v>60</v>
      </c>
      <c r="M693">
        <f>Table1[[#This Row],[UnitPrice]]*Table1[[#This Row],[Quantity]]</f>
        <v>73502</v>
      </c>
      <c r="N693">
        <f>Table1[[#This Row],[Total Price]]*Table1[[#This Row],[Discount]]</f>
        <v>28665.780000000002</v>
      </c>
      <c r="O693">
        <f>Table1[[#This Row],[Total Price]]-Table1[[#This Row],[Discount Amount]]</f>
        <v>44836.22</v>
      </c>
    </row>
    <row r="694" spans="1:15" x14ac:dyDescent="0.3">
      <c r="A694" t="s">
        <v>2113</v>
      </c>
      <c r="B694" s="1">
        <v>44949</v>
      </c>
      <c r="C694" t="s">
        <v>2114</v>
      </c>
      <c r="D694" t="s">
        <v>58</v>
      </c>
      <c r="E694">
        <v>2</v>
      </c>
      <c r="F694">
        <v>6369</v>
      </c>
      <c r="G694" s="9">
        <v>0.4</v>
      </c>
      <c r="H694" t="s">
        <v>26</v>
      </c>
      <c r="I694" t="s">
        <v>2115</v>
      </c>
      <c r="J694" s="13" t="s">
        <v>37</v>
      </c>
      <c r="K694">
        <v>5</v>
      </c>
      <c r="L694" t="s">
        <v>16</v>
      </c>
      <c r="M694">
        <f>Table1[[#This Row],[UnitPrice]]*Table1[[#This Row],[Quantity]]</f>
        <v>12738</v>
      </c>
      <c r="N694">
        <f>Table1[[#This Row],[Total Price]]*Table1[[#This Row],[Discount]]</f>
        <v>5095.2000000000007</v>
      </c>
      <c r="O694">
        <f>Table1[[#This Row],[Total Price]]-Table1[[#This Row],[Discount Amount]]</f>
        <v>7642.7999999999993</v>
      </c>
    </row>
    <row r="695" spans="1:15" x14ac:dyDescent="0.3">
      <c r="A695" t="s">
        <v>2116</v>
      </c>
      <c r="B695" s="1">
        <v>45728</v>
      </c>
      <c r="C695" t="s">
        <v>2117</v>
      </c>
      <c r="D695" t="s">
        <v>12</v>
      </c>
      <c r="E695">
        <v>3</v>
      </c>
      <c r="F695">
        <v>7291</v>
      </c>
      <c r="G695" s="9">
        <v>0.13</v>
      </c>
      <c r="H695" t="s">
        <v>13</v>
      </c>
      <c r="I695" t="s">
        <v>2118</v>
      </c>
      <c r="J695" s="14" t="s">
        <v>37</v>
      </c>
      <c r="K695">
        <v>4</v>
      </c>
      <c r="L695" t="s">
        <v>22</v>
      </c>
      <c r="M695">
        <f>Table1[[#This Row],[UnitPrice]]*Table1[[#This Row],[Quantity]]</f>
        <v>21873</v>
      </c>
      <c r="N695">
        <f>Table1[[#This Row],[Total Price]]*Table1[[#This Row],[Discount]]</f>
        <v>2843.4900000000002</v>
      </c>
      <c r="O695">
        <f>Table1[[#This Row],[Total Price]]-Table1[[#This Row],[Discount Amount]]</f>
        <v>19029.509999999998</v>
      </c>
    </row>
    <row r="696" spans="1:15" x14ac:dyDescent="0.3">
      <c r="A696" t="s">
        <v>2119</v>
      </c>
      <c r="B696" s="1">
        <v>45201</v>
      </c>
      <c r="C696" t="s">
        <v>2120</v>
      </c>
      <c r="D696" t="s">
        <v>36</v>
      </c>
      <c r="E696">
        <v>1</v>
      </c>
      <c r="F696">
        <v>6595</v>
      </c>
      <c r="G696" s="9">
        <v>0</v>
      </c>
      <c r="H696" t="s">
        <v>50</v>
      </c>
      <c r="I696" t="s">
        <v>2121</v>
      </c>
      <c r="J696" s="13" t="s">
        <v>14</v>
      </c>
      <c r="K696">
        <v>8</v>
      </c>
      <c r="L696" t="s">
        <v>28</v>
      </c>
      <c r="M696">
        <f>Table1[[#This Row],[UnitPrice]]*Table1[[#This Row],[Quantity]]</f>
        <v>6595</v>
      </c>
      <c r="N696">
        <f>Table1[[#This Row],[Total Price]]*Table1[[#This Row],[Discount]]</f>
        <v>0</v>
      </c>
      <c r="O696">
        <f>Table1[[#This Row],[Total Price]]-Table1[[#This Row],[Discount Amount]]</f>
        <v>6595</v>
      </c>
    </row>
    <row r="697" spans="1:15" x14ac:dyDescent="0.3">
      <c r="A697" t="s">
        <v>2122</v>
      </c>
      <c r="B697" s="1">
        <v>45619</v>
      </c>
      <c r="C697" t="s">
        <v>2123</v>
      </c>
      <c r="D697" t="s">
        <v>36</v>
      </c>
      <c r="E697">
        <v>2</v>
      </c>
      <c r="F697">
        <v>8302</v>
      </c>
      <c r="G697" s="9">
        <v>0.21</v>
      </c>
      <c r="H697" t="s">
        <v>20</v>
      </c>
      <c r="I697" t="s">
        <v>2124</v>
      </c>
      <c r="J697" s="14" t="s">
        <v>14</v>
      </c>
      <c r="K697">
        <v>7</v>
      </c>
      <c r="L697" t="s">
        <v>28</v>
      </c>
      <c r="M697">
        <f>Table1[[#This Row],[UnitPrice]]*Table1[[#This Row],[Quantity]]</f>
        <v>16604</v>
      </c>
      <c r="N697">
        <f>Table1[[#This Row],[Total Price]]*Table1[[#This Row],[Discount]]</f>
        <v>3486.8399999999997</v>
      </c>
      <c r="O697">
        <f>Table1[[#This Row],[Total Price]]-Table1[[#This Row],[Discount Amount]]</f>
        <v>13117.16</v>
      </c>
    </row>
    <row r="698" spans="1:15" x14ac:dyDescent="0.3">
      <c r="A698" t="s">
        <v>2125</v>
      </c>
      <c r="B698" s="1">
        <v>45109</v>
      </c>
      <c r="C698" t="s">
        <v>2126</v>
      </c>
      <c r="D698" t="s">
        <v>31</v>
      </c>
      <c r="E698">
        <v>3</v>
      </c>
      <c r="F698">
        <v>44104</v>
      </c>
      <c r="G698" s="9">
        <v>0.34</v>
      </c>
      <c r="H698" t="s">
        <v>45</v>
      </c>
      <c r="I698" t="s">
        <v>2127</v>
      </c>
      <c r="J698" s="13" t="s">
        <v>73</v>
      </c>
      <c r="K698">
        <v>9</v>
      </c>
      <c r="L698" t="s">
        <v>33</v>
      </c>
      <c r="M698">
        <f>Table1[[#This Row],[UnitPrice]]*Table1[[#This Row],[Quantity]]</f>
        <v>132312</v>
      </c>
      <c r="N698">
        <f>Table1[[#This Row],[Total Price]]*Table1[[#This Row],[Discount]]</f>
        <v>44986.080000000002</v>
      </c>
      <c r="O698">
        <f>Table1[[#This Row],[Total Price]]-Table1[[#This Row],[Discount Amount]]</f>
        <v>87325.92</v>
      </c>
    </row>
    <row r="699" spans="1:15" x14ac:dyDescent="0.3">
      <c r="A699" t="s">
        <v>2128</v>
      </c>
      <c r="B699" s="1">
        <v>45692</v>
      </c>
      <c r="C699" t="s">
        <v>2129</v>
      </c>
      <c r="D699" t="s">
        <v>36</v>
      </c>
      <c r="E699">
        <v>2</v>
      </c>
      <c r="F699">
        <v>8145</v>
      </c>
      <c r="G699" s="9">
        <v>0.31</v>
      </c>
      <c r="H699" t="s">
        <v>50</v>
      </c>
      <c r="I699" t="s">
        <v>2130</v>
      </c>
      <c r="J699" s="14" t="s">
        <v>14</v>
      </c>
      <c r="K699">
        <v>6</v>
      </c>
      <c r="L699" t="s">
        <v>28</v>
      </c>
      <c r="M699">
        <f>Table1[[#This Row],[UnitPrice]]*Table1[[#This Row],[Quantity]]</f>
        <v>16290</v>
      </c>
      <c r="N699">
        <f>Table1[[#This Row],[Total Price]]*Table1[[#This Row],[Discount]]</f>
        <v>5049.8999999999996</v>
      </c>
      <c r="O699">
        <f>Table1[[#This Row],[Total Price]]-Table1[[#This Row],[Discount Amount]]</f>
        <v>11240.1</v>
      </c>
    </row>
    <row r="700" spans="1:15" x14ac:dyDescent="0.3">
      <c r="A700" t="s">
        <v>2131</v>
      </c>
      <c r="B700" s="1">
        <v>44930</v>
      </c>
      <c r="C700" t="s">
        <v>2132</v>
      </c>
      <c r="D700" t="s">
        <v>44</v>
      </c>
      <c r="E700">
        <v>1</v>
      </c>
      <c r="F700">
        <v>68086</v>
      </c>
      <c r="G700" s="9">
        <v>0.22</v>
      </c>
      <c r="H700" t="s">
        <v>50</v>
      </c>
      <c r="I700" t="s">
        <v>2133</v>
      </c>
      <c r="J700" s="13" t="s">
        <v>37</v>
      </c>
      <c r="K700">
        <v>2</v>
      </c>
      <c r="L700" t="s">
        <v>16</v>
      </c>
      <c r="M700">
        <f>Table1[[#This Row],[UnitPrice]]*Table1[[#This Row],[Quantity]]</f>
        <v>68086</v>
      </c>
      <c r="N700">
        <f>Table1[[#This Row],[Total Price]]*Table1[[#This Row],[Discount]]</f>
        <v>14978.92</v>
      </c>
      <c r="O700">
        <f>Table1[[#This Row],[Total Price]]-Table1[[#This Row],[Discount Amount]]</f>
        <v>53107.08</v>
      </c>
    </row>
    <row r="701" spans="1:15" x14ac:dyDescent="0.3">
      <c r="A701" t="s">
        <v>2134</v>
      </c>
      <c r="B701" s="1">
        <v>45243</v>
      </c>
      <c r="C701" t="s">
        <v>2135</v>
      </c>
      <c r="D701" t="s">
        <v>44</v>
      </c>
      <c r="E701">
        <v>3</v>
      </c>
      <c r="F701">
        <v>75953</v>
      </c>
      <c r="G701" s="9">
        <v>0.15</v>
      </c>
      <c r="H701" t="s">
        <v>45</v>
      </c>
      <c r="I701" t="s">
        <v>2136</v>
      </c>
      <c r="J701" s="14" t="s">
        <v>37</v>
      </c>
      <c r="K701">
        <v>3</v>
      </c>
      <c r="L701" t="s">
        <v>33</v>
      </c>
      <c r="M701">
        <f>Table1[[#This Row],[UnitPrice]]*Table1[[#This Row],[Quantity]]</f>
        <v>227859</v>
      </c>
      <c r="N701">
        <f>Table1[[#This Row],[Total Price]]*Table1[[#This Row],[Discount]]</f>
        <v>34178.85</v>
      </c>
      <c r="O701">
        <f>Table1[[#This Row],[Total Price]]-Table1[[#This Row],[Discount Amount]]</f>
        <v>193680.15</v>
      </c>
    </row>
    <row r="702" spans="1:15" x14ac:dyDescent="0.3">
      <c r="A702" t="s">
        <v>2137</v>
      </c>
      <c r="B702" s="1">
        <v>45560</v>
      </c>
      <c r="C702" t="s">
        <v>2138</v>
      </c>
      <c r="D702" t="s">
        <v>44</v>
      </c>
      <c r="E702">
        <v>1</v>
      </c>
      <c r="F702">
        <v>66429</v>
      </c>
      <c r="G702" s="9">
        <v>0.24</v>
      </c>
      <c r="H702" t="s">
        <v>50</v>
      </c>
      <c r="I702" t="s">
        <v>2139</v>
      </c>
      <c r="J702" s="13" t="s">
        <v>73</v>
      </c>
      <c r="K702">
        <v>3</v>
      </c>
      <c r="L702" t="s">
        <v>16</v>
      </c>
      <c r="M702">
        <f>Table1[[#This Row],[UnitPrice]]*Table1[[#This Row],[Quantity]]</f>
        <v>66429</v>
      </c>
      <c r="N702">
        <f>Table1[[#This Row],[Total Price]]*Table1[[#This Row],[Discount]]</f>
        <v>15942.96</v>
      </c>
      <c r="O702">
        <f>Table1[[#This Row],[Total Price]]-Table1[[#This Row],[Discount Amount]]</f>
        <v>50486.04</v>
      </c>
    </row>
    <row r="703" spans="1:15" x14ac:dyDescent="0.3">
      <c r="A703" t="s">
        <v>2140</v>
      </c>
      <c r="B703" s="1">
        <v>45466</v>
      </c>
      <c r="C703" t="s">
        <v>2141</v>
      </c>
      <c r="D703" t="s">
        <v>12</v>
      </c>
      <c r="E703">
        <v>3</v>
      </c>
      <c r="F703">
        <v>8801</v>
      </c>
      <c r="G703" s="9">
        <v>0.01</v>
      </c>
      <c r="H703" t="s">
        <v>26</v>
      </c>
      <c r="I703" t="s">
        <v>2142</v>
      </c>
      <c r="J703" s="14" t="s">
        <v>37</v>
      </c>
      <c r="K703">
        <v>5</v>
      </c>
      <c r="L703" t="s">
        <v>28</v>
      </c>
      <c r="M703">
        <f>Table1[[#This Row],[UnitPrice]]*Table1[[#This Row],[Quantity]]</f>
        <v>26403</v>
      </c>
      <c r="N703">
        <f>Table1[[#This Row],[Total Price]]*Table1[[#This Row],[Discount]]</f>
        <v>264.03000000000003</v>
      </c>
      <c r="O703">
        <f>Table1[[#This Row],[Total Price]]-Table1[[#This Row],[Discount Amount]]</f>
        <v>26138.97</v>
      </c>
    </row>
    <row r="704" spans="1:15" x14ac:dyDescent="0.3">
      <c r="A704" t="s">
        <v>2143</v>
      </c>
      <c r="B704" s="1">
        <v>45452</v>
      </c>
      <c r="C704" t="s">
        <v>2144</v>
      </c>
      <c r="D704" t="s">
        <v>36</v>
      </c>
      <c r="E704">
        <v>3</v>
      </c>
      <c r="F704">
        <v>6871</v>
      </c>
      <c r="G704" s="9">
        <v>0.04</v>
      </c>
      <c r="H704" t="s">
        <v>13</v>
      </c>
      <c r="I704" t="s">
        <v>2145</v>
      </c>
      <c r="J704" s="13" t="s">
        <v>73</v>
      </c>
      <c r="K704">
        <v>6</v>
      </c>
      <c r="L704" t="s">
        <v>28</v>
      </c>
      <c r="M704">
        <f>Table1[[#This Row],[UnitPrice]]*Table1[[#This Row],[Quantity]]</f>
        <v>20613</v>
      </c>
      <c r="N704">
        <f>Table1[[#This Row],[Total Price]]*Table1[[#This Row],[Discount]]</f>
        <v>824.52</v>
      </c>
      <c r="O704">
        <f>Table1[[#This Row],[Total Price]]-Table1[[#This Row],[Discount Amount]]</f>
        <v>19788.48</v>
      </c>
    </row>
    <row r="705" spans="1:15" x14ac:dyDescent="0.3">
      <c r="A705" t="s">
        <v>2146</v>
      </c>
      <c r="B705" s="1">
        <v>45007</v>
      </c>
      <c r="C705" t="s">
        <v>2147</v>
      </c>
      <c r="D705" t="s">
        <v>58</v>
      </c>
      <c r="E705">
        <v>2</v>
      </c>
      <c r="F705">
        <v>7352</v>
      </c>
      <c r="G705" s="9">
        <v>0.08</v>
      </c>
      <c r="H705" t="s">
        <v>50</v>
      </c>
      <c r="I705" t="s">
        <v>2148</v>
      </c>
      <c r="J705" s="14" t="s">
        <v>73</v>
      </c>
      <c r="K705">
        <v>3</v>
      </c>
      <c r="L705" t="s">
        <v>28</v>
      </c>
      <c r="M705">
        <f>Table1[[#This Row],[UnitPrice]]*Table1[[#This Row],[Quantity]]</f>
        <v>14704</v>
      </c>
      <c r="N705">
        <f>Table1[[#This Row],[Total Price]]*Table1[[#This Row],[Discount]]</f>
        <v>1176.32</v>
      </c>
      <c r="O705">
        <f>Table1[[#This Row],[Total Price]]-Table1[[#This Row],[Discount Amount]]</f>
        <v>13527.68</v>
      </c>
    </row>
    <row r="706" spans="1:15" x14ac:dyDescent="0.3">
      <c r="A706" t="s">
        <v>2149</v>
      </c>
      <c r="B706" s="1">
        <v>45080</v>
      </c>
      <c r="C706" t="s">
        <v>2150</v>
      </c>
      <c r="D706" t="s">
        <v>58</v>
      </c>
      <c r="E706">
        <v>3</v>
      </c>
      <c r="F706">
        <v>9065</v>
      </c>
      <c r="G706" s="9">
        <v>0.31</v>
      </c>
      <c r="H706" t="s">
        <v>20</v>
      </c>
      <c r="I706" t="s">
        <v>2151</v>
      </c>
      <c r="J706" s="13" t="s">
        <v>37</v>
      </c>
      <c r="K706">
        <v>9</v>
      </c>
      <c r="L706" t="s">
        <v>60</v>
      </c>
      <c r="M706">
        <f>Table1[[#This Row],[UnitPrice]]*Table1[[#This Row],[Quantity]]</f>
        <v>27195</v>
      </c>
      <c r="N706">
        <f>Table1[[#This Row],[Total Price]]*Table1[[#This Row],[Discount]]</f>
        <v>8430.4500000000007</v>
      </c>
      <c r="O706">
        <f>Table1[[#This Row],[Total Price]]-Table1[[#This Row],[Discount Amount]]</f>
        <v>18764.55</v>
      </c>
    </row>
    <row r="707" spans="1:15" x14ac:dyDescent="0.3">
      <c r="A707" t="s">
        <v>2152</v>
      </c>
      <c r="B707" s="1">
        <v>45746</v>
      </c>
      <c r="C707" t="s">
        <v>2153</v>
      </c>
      <c r="D707" t="s">
        <v>12</v>
      </c>
      <c r="E707">
        <v>3</v>
      </c>
      <c r="F707">
        <v>4766</v>
      </c>
      <c r="G707" s="9">
        <v>0.11</v>
      </c>
      <c r="H707" t="s">
        <v>13</v>
      </c>
      <c r="I707" t="s">
        <v>2154</v>
      </c>
      <c r="J707" s="14" t="s">
        <v>73</v>
      </c>
      <c r="K707">
        <v>7</v>
      </c>
      <c r="L707" t="s">
        <v>16</v>
      </c>
      <c r="M707">
        <f>Table1[[#This Row],[UnitPrice]]*Table1[[#This Row],[Quantity]]</f>
        <v>14298</v>
      </c>
      <c r="N707">
        <f>Table1[[#This Row],[Total Price]]*Table1[[#This Row],[Discount]]</f>
        <v>1572.78</v>
      </c>
      <c r="O707">
        <f>Table1[[#This Row],[Total Price]]-Table1[[#This Row],[Discount Amount]]</f>
        <v>12725.22</v>
      </c>
    </row>
    <row r="708" spans="1:15" x14ac:dyDescent="0.3">
      <c r="A708" t="s">
        <v>2155</v>
      </c>
      <c r="B708" s="1">
        <v>45718</v>
      </c>
      <c r="C708" t="s">
        <v>2156</v>
      </c>
      <c r="D708" t="s">
        <v>58</v>
      </c>
      <c r="E708">
        <v>2</v>
      </c>
      <c r="F708">
        <v>9137</v>
      </c>
      <c r="G708" s="9">
        <v>0.21</v>
      </c>
      <c r="H708" t="s">
        <v>45</v>
      </c>
      <c r="I708" t="s">
        <v>2157</v>
      </c>
      <c r="J708" s="13" t="s">
        <v>14</v>
      </c>
      <c r="K708">
        <v>9</v>
      </c>
      <c r="L708" t="s">
        <v>33</v>
      </c>
      <c r="M708">
        <f>Table1[[#This Row],[UnitPrice]]*Table1[[#This Row],[Quantity]]</f>
        <v>18274</v>
      </c>
      <c r="N708">
        <f>Table1[[#This Row],[Total Price]]*Table1[[#This Row],[Discount]]</f>
        <v>3837.54</v>
      </c>
      <c r="O708">
        <f>Table1[[#This Row],[Total Price]]-Table1[[#This Row],[Discount Amount]]</f>
        <v>14436.46</v>
      </c>
    </row>
    <row r="709" spans="1:15" x14ac:dyDescent="0.3">
      <c r="A709" t="s">
        <v>2158</v>
      </c>
      <c r="B709" s="1">
        <v>45597</v>
      </c>
      <c r="C709" t="s">
        <v>2159</v>
      </c>
      <c r="D709" t="s">
        <v>31</v>
      </c>
      <c r="E709">
        <v>1</v>
      </c>
      <c r="F709">
        <v>36582</v>
      </c>
      <c r="G709" s="9">
        <v>0.31</v>
      </c>
      <c r="H709" t="s">
        <v>45</v>
      </c>
      <c r="I709" t="s">
        <v>2160</v>
      </c>
      <c r="J709" s="14" t="s">
        <v>37</v>
      </c>
      <c r="K709">
        <v>6</v>
      </c>
      <c r="L709" t="s">
        <v>33</v>
      </c>
      <c r="M709">
        <f>Table1[[#This Row],[UnitPrice]]*Table1[[#This Row],[Quantity]]</f>
        <v>36582</v>
      </c>
      <c r="N709">
        <f>Table1[[#This Row],[Total Price]]*Table1[[#This Row],[Discount]]</f>
        <v>11340.42</v>
      </c>
      <c r="O709">
        <f>Table1[[#This Row],[Total Price]]-Table1[[#This Row],[Discount Amount]]</f>
        <v>25241.58</v>
      </c>
    </row>
    <row r="710" spans="1:15" x14ac:dyDescent="0.3">
      <c r="A710" t="s">
        <v>2161</v>
      </c>
      <c r="B710" s="1">
        <v>45720</v>
      </c>
      <c r="C710" t="s">
        <v>2162</v>
      </c>
      <c r="D710" t="s">
        <v>36</v>
      </c>
      <c r="E710">
        <v>3</v>
      </c>
      <c r="F710">
        <v>8738</v>
      </c>
      <c r="G710" s="9">
        <v>0.42</v>
      </c>
      <c r="H710" t="s">
        <v>50</v>
      </c>
      <c r="I710" t="s">
        <v>2163</v>
      </c>
      <c r="J710" s="13" t="s">
        <v>73</v>
      </c>
      <c r="K710">
        <v>3</v>
      </c>
      <c r="L710" t="s">
        <v>16</v>
      </c>
      <c r="M710">
        <f>Table1[[#This Row],[UnitPrice]]*Table1[[#This Row],[Quantity]]</f>
        <v>26214</v>
      </c>
      <c r="N710">
        <f>Table1[[#This Row],[Total Price]]*Table1[[#This Row],[Discount]]</f>
        <v>11009.88</v>
      </c>
      <c r="O710">
        <f>Table1[[#This Row],[Total Price]]-Table1[[#This Row],[Discount Amount]]</f>
        <v>15204.12</v>
      </c>
    </row>
    <row r="711" spans="1:15" x14ac:dyDescent="0.3">
      <c r="A711" t="s">
        <v>2164</v>
      </c>
      <c r="B711" s="1">
        <v>45633</v>
      </c>
      <c r="C711" t="s">
        <v>2165</v>
      </c>
      <c r="D711" t="s">
        <v>58</v>
      </c>
      <c r="E711">
        <v>1</v>
      </c>
      <c r="F711">
        <v>6916</v>
      </c>
      <c r="G711" s="9">
        <v>0.27</v>
      </c>
      <c r="H711" t="s">
        <v>20</v>
      </c>
      <c r="I711" t="s">
        <v>2166</v>
      </c>
      <c r="J711" s="14" t="s">
        <v>73</v>
      </c>
      <c r="K711">
        <v>4</v>
      </c>
      <c r="L711" t="s">
        <v>60</v>
      </c>
      <c r="M711">
        <f>Table1[[#This Row],[UnitPrice]]*Table1[[#This Row],[Quantity]]</f>
        <v>6916</v>
      </c>
      <c r="N711">
        <f>Table1[[#This Row],[Total Price]]*Table1[[#This Row],[Discount]]</f>
        <v>1867.3200000000002</v>
      </c>
      <c r="O711">
        <f>Table1[[#This Row],[Total Price]]-Table1[[#This Row],[Discount Amount]]</f>
        <v>5048.68</v>
      </c>
    </row>
    <row r="712" spans="1:15" x14ac:dyDescent="0.3">
      <c r="A712" t="s">
        <v>2167</v>
      </c>
      <c r="B712" s="1">
        <v>45495</v>
      </c>
      <c r="C712" t="s">
        <v>2168</v>
      </c>
      <c r="D712" t="s">
        <v>44</v>
      </c>
      <c r="E712">
        <v>1</v>
      </c>
      <c r="F712">
        <v>27348</v>
      </c>
      <c r="G712" s="9">
        <v>0.09</v>
      </c>
      <c r="H712" t="s">
        <v>45</v>
      </c>
      <c r="I712" t="s">
        <v>2169</v>
      </c>
      <c r="J712" s="13" t="s">
        <v>14</v>
      </c>
      <c r="K712">
        <v>10</v>
      </c>
      <c r="L712" t="s">
        <v>60</v>
      </c>
      <c r="M712">
        <f>Table1[[#This Row],[UnitPrice]]*Table1[[#This Row],[Quantity]]</f>
        <v>27348</v>
      </c>
      <c r="N712">
        <f>Table1[[#This Row],[Total Price]]*Table1[[#This Row],[Discount]]</f>
        <v>2461.3199999999997</v>
      </c>
      <c r="O712">
        <f>Table1[[#This Row],[Total Price]]-Table1[[#This Row],[Discount Amount]]</f>
        <v>24886.68</v>
      </c>
    </row>
    <row r="713" spans="1:15" x14ac:dyDescent="0.3">
      <c r="A713" t="s">
        <v>2170</v>
      </c>
      <c r="B713" s="1">
        <v>45477</v>
      </c>
      <c r="C713" t="s">
        <v>2171</v>
      </c>
      <c r="D713" t="s">
        <v>25</v>
      </c>
      <c r="E713">
        <v>2</v>
      </c>
      <c r="F713">
        <v>4573</v>
      </c>
      <c r="G713" s="9">
        <v>0.48</v>
      </c>
      <c r="H713" t="s">
        <v>20</v>
      </c>
      <c r="I713" t="s">
        <v>2172</v>
      </c>
      <c r="J713" s="14" t="s">
        <v>14</v>
      </c>
      <c r="K713">
        <v>2</v>
      </c>
      <c r="L713" t="s">
        <v>60</v>
      </c>
      <c r="M713">
        <f>Table1[[#This Row],[UnitPrice]]*Table1[[#This Row],[Quantity]]</f>
        <v>9146</v>
      </c>
      <c r="N713">
        <f>Table1[[#This Row],[Total Price]]*Table1[[#This Row],[Discount]]</f>
        <v>4390.08</v>
      </c>
      <c r="O713">
        <f>Table1[[#This Row],[Total Price]]-Table1[[#This Row],[Discount Amount]]</f>
        <v>4755.92</v>
      </c>
    </row>
    <row r="714" spans="1:15" x14ac:dyDescent="0.3">
      <c r="A714" t="s">
        <v>2173</v>
      </c>
      <c r="B714" s="1">
        <v>45300</v>
      </c>
      <c r="C714" t="s">
        <v>1711</v>
      </c>
      <c r="D714" t="s">
        <v>25</v>
      </c>
      <c r="E714">
        <v>3</v>
      </c>
      <c r="F714">
        <v>2465</v>
      </c>
      <c r="G714" s="9">
        <v>0.05</v>
      </c>
      <c r="H714" t="s">
        <v>45</v>
      </c>
      <c r="I714" t="s">
        <v>2174</v>
      </c>
      <c r="J714" s="13" t="s">
        <v>73</v>
      </c>
      <c r="K714">
        <v>7</v>
      </c>
      <c r="L714" t="s">
        <v>28</v>
      </c>
      <c r="M714">
        <f>Table1[[#This Row],[UnitPrice]]*Table1[[#This Row],[Quantity]]</f>
        <v>7395</v>
      </c>
      <c r="N714">
        <f>Table1[[#This Row],[Total Price]]*Table1[[#This Row],[Discount]]</f>
        <v>369.75</v>
      </c>
      <c r="O714">
        <f>Table1[[#This Row],[Total Price]]-Table1[[#This Row],[Discount Amount]]</f>
        <v>7025.25</v>
      </c>
    </row>
    <row r="715" spans="1:15" x14ac:dyDescent="0.3">
      <c r="A715" t="s">
        <v>2175</v>
      </c>
      <c r="B715" s="1">
        <v>45829</v>
      </c>
      <c r="C715" t="s">
        <v>2176</v>
      </c>
      <c r="D715" t="s">
        <v>25</v>
      </c>
      <c r="E715">
        <v>2</v>
      </c>
      <c r="F715">
        <v>19503</v>
      </c>
      <c r="G715" s="9">
        <v>0.18</v>
      </c>
      <c r="H715" t="s">
        <v>20</v>
      </c>
      <c r="I715" t="s">
        <v>2177</v>
      </c>
      <c r="J715" s="14" t="s">
        <v>73</v>
      </c>
      <c r="K715">
        <v>6</v>
      </c>
      <c r="L715" t="s">
        <v>33</v>
      </c>
      <c r="M715">
        <f>Table1[[#This Row],[UnitPrice]]*Table1[[#This Row],[Quantity]]</f>
        <v>39006</v>
      </c>
      <c r="N715">
        <f>Table1[[#This Row],[Total Price]]*Table1[[#This Row],[Discount]]</f>
        <v>7021.08</v>
      </c>
      <c r="O715">
        <f>Table1[[#This Row],[Total Price]]-Table1[[#This Row],[Discount Amount]]</f>
        <v>31984.92</v>
      </c>
    </row>
    <row r="716" spans="1:15" x14ac:dyDescent="0.3">
      <c r="A716" t="s">
        <v>2178</v>
      </c>
      <c r="B716" s="1">
        <v>45037</v>
      </c>
      <c r="C716" t="s">
        <v>2179</v>
      </c>
      <c r="D716" t="s">
        <v>44</v>
      </c>
      <c r="E716">
        <v>1</v>
      </c>
      <c r="F716">
        <v>72234</v>
      </c>
      <c r="G716" s="9">
        <v>0.46</v>
      </c>
      <c r="H716" t="s">
        <v>13</v>
      </c>
      <c r="I716" t="s">
        <v>2180</v>
      </c>
      <c r="J716" s="13" t="s">
        <v>73</v>
      </c>
      <c r="K716">
        <v>1</v>
      </c>
      <c r="L716" t="s">
        <v>33</v>
      </c>
      <c r="M716">
        <f>Table1[[#This Row],[UnitPrice]]*Table1[[#This Row],[Quantity]]</f>
        <v>72234</v>
      </c>
      <c r="N716">
        <f>Table1[[#This Row],[Total Price]]*Table1[[#This Row],[Discount]]</f>
        <v>33227.64</v>
      </c>
      <c r="O716">
        <f>Table1[[#This Row],[Total Price]]-Table1[[#This Row],[Discount Amount]]</f>
        <v>39006.36</v>
      </c>
    </row>
    <row r="717" spans="1:15" x14ac:dyDescent="0.3">
      <c r="A717" t="s">
        <v>2181</v>
      </c>
      <c r="B717" s="1">
        <v>45499</v>
      </c>
      <c r="C717" t="s">
        <v>2182</v>
      </c>
      <c r="D717" t="s">
        <v>36</v>
      </c>
      <c r="E717">
        <v>2</v>
      </c>
      <c r="F717">
        <v>7963</v>
      </c>
      <c r="G717" s="9">
        <v>0.3</v>
      </c>
      <c r="H717" t="s">
        <v>20</v>
      </c>
      <c r="I717" t="s">
        <v>2183</v>
      </c>
      <c r="J717" s="14" t="s">
        <v>37</v>
      </c>
      <c r="K717">
        <v>7</v>
      </c>
      <c r="L717" t="s">
        <v>28</v>
      </c>
      <c r="M717">
        <f>Table1[[#This Row],[UnitPrice]]*Table1[[#This Row],[Quantity]]</f>
        <v>15926</v>
      </c>
      <c r="N717">
        <f>Table1[[#This Row],[Total Price]]*Table1[[#This Row],[Discount]]</f>
        <v>4777.8</v>
      </c>
      <c r="O717">
        <f>Table1[[#This Row],[Total Price]]-Table1[[#This Row],[Discount Amount]]</f>
        <v>11148.2</v>
      </c>
    </row>
    <row r="718" spans="1:15" x14ac:dyDescent="0.3">
      <c r="A718" t="s">
        <v>2184</v>
      </c>
      <c r="B718" s="1">
        <v>45456</v>
      </c>
      <c r="C718" t="s">
        <v>2185</v>
      </c>
      <c r="D718" t="s">
        <v>31</v>
      </c>
      <c r="E718">
        <v>3</v>
      </c>
      <c r="F718">
        <v>16023</v>
      </c>
      <c r="G718" s="9">
        <v>0.33</v>
      </c>
      <c r="H718" t="s">
        <v>26</v>
      </c>
      <c r="I718" t="s">
        <v>2186</v>
      </c>
      <c r="J718" s="13" t="s">
        <v>73</v>
      </c>
      <c r="K718">
        <v>4</v>
      </c>
      <c r="L718" t="s">
        <v>60</v>
      </c>
      <c r="M718">
        <f>Table1[[#This Row],[UnitPrice]]*Table1[[#This Row],[Quantity]]</f>
        <v>48069</v>
      </c>
      <c r="N718">
        <f>Table1[[#This Row],[Total Price]]*Table1[[#This Row],[Discount]]</f>
        <v>15862.77</v>
      </c>
      <c r="O718">
        <f>Table1[[#This Row],[Total Price]]-Table1[[#This Row],[Discount Amount]]</f>
        <v>32206.23</v>
      </c>
    </row>
    <row r="719" spans="1:15" x14ac:dyDescent="0.3">
      <c r="A719" t="s">
        <v>2187</v>
      </c>
      <c r="B719" s="1">
        <v>45215</v>
      </c>
      <c r="C719" t="s">
        <v>2188</v>
      </c>
      <c r="D719" t="s">
        <v>31</v>
      </c>
      <c r="E719">
        <v>2</v>
      </c>
      <c r="F719">
        <v>48920</v>
      </c>
      <c r="G719" s="9">
        <v>0.15</v>
      </c>
      <c r="H719" t="s">
        <v>20</v>
      </c>
      <c r="I719" t="s">
        <v>2189</v>
      </c>
      <c r="J719" s="14" t="s">
        <v>37</v>
      </c>
      <c r="K719">
        <v>4</v>
      </c>
      <c r="L719" t="s">
        <v>28</v>
      </c>
      <c r="M719">
        <f>Table1[[#This Row],[UnitPrice]]*Table1[[#This Row],[Quantity]]</f>
        <v>97840</v>
      </c>
      <c r="N719">
        <f>Table1[[#This Row],[Total Price]]*Table1[[#This Row],[Discount]]</f>
        <v>14676</v>
      </c>
      <c r="O719">
        <f>Table1[[#This Row],[Total Price]]-Table1[[#This Row],[Discount Amount]]</f>
        <v>83164</v>
      </c>
    </row>
    <row r="720" spans="1:15" x14ac:dyDescent="0.3">
      <c r="A720" t="s">
        <v>2190</v>
      </c>
      <c r="B720" s="1">
        <v>45024</v>
      </c>
      <c r="C720" t="s">
        <v>2191</v>
      </c>
      <c r="D720" t="s">
        <v>44</v>
      </c>
      <c r="E720">
        <v>1</v>
      </c>
      <c r="F720">
        <v>32901</v>
      </c>
      <c r="G720" s="9">
        <v>0.04</v>
      </c>
      <c r="H720" t="s">
        <v>45</v>
      </c>
      <c r="I720" t="s">
        <v>2192</v>
      </c>
      <c r="J720" s="13" t="s">
        <v>73</v>
      </c>
      <c r="K720">
        <v>8</v>
      </c>
      <c r="L720" t="s">
        <v>60</v>
      </c>
      <c r="M720">
        <f>Table1[[#This Row],[UnitPrice]]*Table1[[#This Row],[Quantity]]</f>
        <v>32901</v>
      </c>
      <c r="N720">
        <f>Table1[[#This Row],[Total Price]]*Table1[[#This Row],[Discount]]</f>
        <v>1316.04</v>
      </c>
      <c r="O720">
        <f>Table1[[#This Row],[Total Price]]-Table1[[#This Row],[Discount Amount]]</f>
        <v>31584.959999999999</v>
      </c>
    </row>
    <row r="721" spans="1:15" x14ac:dyDescent="0.3">
      <c r="A721" t="s">
        <v>2193</v>
      </c>
      <c r="B721" s="1">
        <v>45312</v>
      </c>
      <c r="C721" t="s">
        <v>2194</v>
      </c>
      <c r="D721" t="s">
        <v>44</v>
      </c>
      <c r="E721">
        <v>2</v>
      </c>
      <c r="F721">
        <v>66301</v>
      </c>
      <c r="G721" s="9">
        <v>0.18</v>
      </c>
      <c r="H721" t="s">
        <v>13</v>
      </c>
      <c r="I721" t="s">
        <v>2195</v>
      </c>
      <c r="J721" s="14" t="s">
        <v>14</v>
      </c>
      <c r="K721">
        <v>3</v>
      </c>
      <c r="L721" t="s">
        <v>33</v>
      </c>
      <c r="M721">
        <f>Table1[[#This Row],[UnitPrice]]*Table1[[#This Row],[Quantity]]</f>
        <v>132602</v>
      </c>
      <c r="N721">
        <f>Table1[[#This Row],[Total Price]]*Table1[[#This Row],[Discount]]</f>
        <v>23868.36</v>
      </c>
      <c r="O721">
        <f>Table1[[#This Row],[Total Price]]-Table1[[#This Row],[Discount Amount]]</f>
        <v>108733.64</v>
      </c>
    </row>
    <row r="722" spans="1:15" x14ac:dyDescent="0.3">
      <c r="A722" t="s">
        <v>2196</v>
      </c>
      <c r="B722" s="1">
        <v>45190</v>
      </c>
      <c r="C722" t="s">
        <v>2197</v>
      </c>
      <c r="D722" t="s">
        <v>58</v>
      </c>
      <c r="E722">
        <v>2</v>
      </c>
      <c r="F722">
        <v>6319</v>
      </c>
      <c r="G722" s="9">
        <v>0.2</v>
      </c>
      <c r="H722" t="s">
        <v>50</v>
      </c>
      <c r="I722" t="s">
        <v>2198</v>
      </c>
      <c r="J722" s="13" t="s">
        <v>73</v>
      </c>
      <c r="K722">
        <v>10</v>
      </c>
      <c r="L722" t="s">
        <v>16</v>
      </c>
      <c r="M722">
        <f>Table1[[#This Row],[UnitPrice]]*Table1[[#This Row],[Quantity]]</f>
        <v>12638</v>
      </c>
      <c r="N722">
        <f>Table1[[#This Row],[Total Price]]*Table1[[#This Row],[Discount]]</f>
        <v>2527.6000000000004</v>
      </c>
      <c r="O722">
        <f>Table1[[#This Row],[Total Price]]-Table1[[#This Row],[Discount Amount]]</f>
        <v>10110.4</v>
      </c>
    </row>
    <row r="723" spans="1:15" x14ac:dyDescent="0.3">
      <c r="A723" t="s">
        <v>2199</v>
      </c>
      <c r="B723" s="1">
        <v>45369</v>
      </c>
      <c r="C723" t="s">
        <v>2200</v>
      </c>
      <c r="D723" t="s">
        <v>58</v>
      </c>
      <c r="E723">
        <v>1</v>
      </c>
      <c r="F723">
        <v>7896</v>
      </c>
      <c r="G723" s="9">
        <v>0.14000000000000001</v>
      </c>
      <c r="H723" t="s">
        <v>26</v>
      </c>
      <c r="I723" t="s">
        <v>2201</v>
      </c>
      <c r="J723" s="14" t="s">
        <v>37</v>
      </c>
      <c r="K723">
        <v>2</v>
      </c>
      <c r="L723" t="s">
        <v>28</v>
      </c>
      <c r="M723">
        <f>Table1[[#This Row],[UnitPrice]]*Table1[[#This Row],[Quantity]]</f>
        <v>7896</v>
      </c>
      <c r="N723">
        <f>Table1[[#This Row],[Total Price]]*Table1[[#This Row],[Discount]]</f>
        <v>1105.44</v>
      </c>
      <c r="O723">
        <f>Table1[[#This Row],[Total Price]]-Table1[[#This Row],[Discount Amount]]</f>
        <v>6790.5599999999995</v>
      </c>
    </row>
    <row r="724" spans="1:15" x14ac:dyDescent="0.3">
      <c r="A724" t="s">
        <v>2202</v>
      </c>
      <c r="B724" s="1">
        <v>45611</v>
      </c>
      <c r="C724" t="s">
        <v>2203</v>
      </c>
      <c r="D724" t="s">
        <v>36</v>
      </c>
      <c r="E724">
        <v>1</v>
      </c>
      <c r="F724">
        <v>9332</v>
      </c>
      <c r="G724" s="9">
        <v>0.11</v>
      </c>
      <c r="H724" t="s">
        <v>45</v>
      </c>
      <c r="I724" t="s">
        <v>2204</v>
      </c>
      <c r="J724" s="13" t="s">
        <v>73</v>
      </c>
      <c r="K724">
        <v>1</v>
      </c>
      <c r="L724" t="s">
        <v>16</v>
      </c>
      <c r="M724">
        <f>Table1[[#This Row],[UnitPrice]]*Table1[[#This Row],[Quantity]]</f>
        <v>9332</v>
      </c>
      <c r="N724">
        <f>Table1[[#This Row],[Total Price]]*Table1[[#This Row],[Discount]]</f>
        <v>1026.52</v>
      </c>
      <c r="O724">
        <f>Table1[[#This Row],[Total Price]]-Table1[[#This Row],[Discount Amount]]</f>
        <v>8305.48</v>
      </c>
    </row>
    <row r="725" spans="1:15" x14ac:dyDescent="0.3">
      <c r="A725" t="s">
        <v>2205</v>
      </c>
      <c r="B725" s="1">
        <v>45269</v>
      </c>
      <c r="C725" t="s">
        <v>2206</v>
      </c>
      <c r="D725" t="s">
        <v>58</v>
      </c>
      <c r="E725">
        <v>2</v>
      </c>
      <c r="F725">
        <v>9447</v>
      </c>
      <c r="G725" s="9">
        <v>0.18</v>
      </c>
      <c r="H725" t="s">
        <v>50</v>
      </c>
      <c r="I725" t="s">
        <v>2207</v>
      </c>
      <c r="J725" s="14" t="s">
        <v>14</v>
      </c>
      <c r="K725">
        <v>8</v>
      </c>
      <c r="L725" t="s">
        <v>22</v>
      </c>
      <c r="M725">
        <f>Table1[[#This Row],[UnitPrice]]*Table1[[#This Row],[Quantity]]</f>
        <v>18894</v>
      </c>
      <c r="N725">
        <f>Table1[[#This Row],[Total Price]]*Table1[[#This Row],[Discount]]</f>
        <v>3400.92</v>
      </c>
      <c r="O725">
        <f>Table1[[#This Row],[Total Price]]-Table1[[#This Row],[Discount Amount]]</f>
        <v>15493.08</v>
      </c>
    </row>
    <row r="726" spans="1:15" x14ac:dyDescent="0.3">
      <c r="A726" t="s">
        <v>2208</v>
      </c>
      <c r="B726" s="1">
        <v>45583</v>
      </c>
      <c r="C726" t="s">
        <v>2209</v>
      </c>
      <c r="D726" t="s">
        <v>36</v>
      </c>
      <c r="E726">
        <v>2</v>
      </c>
      <c r="F726">
        <v>7130</v>
      </c>
      <c r="G726" s="9">
        <v>0.32</v>
      </c>
      <c r="H726" t="s">
        <v>26</v>
      </c>
      <c r="I726" t="s">
        <v>2210</v>
      </c>
      <c r="J726" s="13" t="s">
        <v>73</v>
      </c>
      <c r="K726">
        <v>4</v>
      </c>
      <c r="L726" t="s">
        <v>22</v>
      </c>
      <c r="M726">
        <f>Table1[[#This Row],[UnitPrice]]*Table1[[#This Row],[Quantity]]</f>
        <v>14260</v>
      </c>
      <c r="N726">
        <f>Table1[[#This Row],[Total Price]]*Table1[[#This Row],[Discount]]</f>
        <v>4563.2</v>
      </c>
      <c r="O726">
        <f>Table1[[#This Row],[Total Price]]-Table1[[#This Row],[Discount Amount]]</f>
        <v>9696.7999999999993</v>
      </c>
    </row>
    <row r="727" spans="1:15" x14ac:dyDescent="0.3">
      <c r="A727" t="s">
        <v>2211</v>
      </c>
      <c r="B727" s="1">
        <v>44997</v>
      </c>
      <c r="C727" t="s">
        <v>2212</v>
      </c>
      <c r="D727" t="s">
        <v>31</v>
      </c>
      <c r="E727">
        <v>1</v>
      </c>
      <c r="F727">
        <v>16327</v>
      </c>
      <c r="G727" s="9">
        <v>0.47</v>
      </c>
      <c r="H727" t="s">
        <v>45</v>
      </c>
      <c r="I727" t="s">
        <v>2213</v>
      </c>
      <c r="J727" s="14" t="s">
        <v>14</v>
      </c>
      <c r="K727">
        <v>5</v>
      </c>
      <c r="L727" t="s">
        <v>22</v>
      </c>
      <c r="M727">
        <f>Table1[[#This Row],[UnitPrice]]*Table1[[#This Row],[Quantity]]</f>
        <v>16327</v>
      </c>
      <c r="N727">
        <f>Table1[[#This Row],[Total Price]]*Table1[[#This Row],[Discount]]</f>
        <v>7673.69</v>
      </c>
      <c r="O727">
        <f>Table1[[#This Row],[Total Price]]-Table1[[#This Row],[Discount Amount]]</f>
        <v>8653.3100000000013</v>
      </c>
    </row>
    <row r="728" spans="1:15" x14ac:dyDescent="0.3">
      <c r="A728" t="s">
        <v>2214</v>
      </c>
      <c r="B728" s="1">
        <v>45590</v>
      </c>
      <c r="C728" t="s">
        <v>2215</v>
      </c>
      <c r="D728" t="s">
        <v>44</v>
      </c>
      <c r="E728">
        <v>3</v>
      </c>
      <c r="F728">
        <v>20555</v>
      </c>
      <c r="G728" s="9">
        <v>0.35</v>
      </c>
      <c r="H728" t="s">
        <v>20</v>
      </c>
      <c r="I728" t="s">
        <v>2216</v>
      </c>
      <c r="J728" s="13" t="s">
        <v>37</v>
      </c>
      <c r="K728">
        <v>4</v>
      </c>
      <c r="L728" t="s">
        <v>33</v>
      </c>
      <c r="M728">
        <f>Table1[[#This Row],[UnitPrice]]*Table1[[#This Row],[Quantity]]</f>
        <v>61665</v>
      </c>
      <c r="N728">
        <f>Table1[[#This Row],[Total Price]]*Table1[[#This Row],[Discount]]</f>
        <v>21582.75</v>
      </c>
      <c r="O728">
        <f>Table1[[#This Row],[Total Price]]-Table1[[#This Row],[Discount Amount]]</f>
        <v>40082.25</v>
      </c>
    </row>
    <row r="729" spans="1:15" x14ac:dyDescent="0.3">
      <c r="A729" t="s">
        <v>2217</v>
      </c>
      <c r="B729" s="1">
        <v>45564</v>
      </c>
      <c r="C729" t="s">
        <v>2218</v>
      </c>
      <c r="D729" t="s">
        <v>31</v>
      </c>
      <c r="E729">
        <v>3</v>
      </c>
      <c r="F729">
        <v>26064</v>
      </c>
      <c r="G729" s="9">
        <v>0.39</v>
      </c>
      <c r="H729" t="s">
        <v>20</v>
      </c>
      <c r="I729" t="s">
        <v>2219</v>
      </c>
      <c r="J729" s="14" t="s">
        <v>14</v>
      </c>
      <c r="K729">
        <v>8</v>
      </c>
      <c r="L729" t="s">
        <v>16</v>
      </c>
      <c r="M729">
        <f>Table1[[#This Row],[UnitPrice]]*Table1[[#This Row],[Quantity]]</f>
        <v>78192</v>
      </c>
      <c r="N729">
        <f>Table1[[#This Row],[Total Price]]*Table1[[#This Row],[Discount]]</f>
        <v>30494.880000000001</v>
      </c>
      <c r="O729">
        <f>Table1[[#This Row],[Total Price]]-Table1[[#This Row],[Discount Amount]]</f>
        <v>47697.119999999995</v>
      </c>
    </row>
    <row r="730" spans="1:15" x14ac:dyDescent="0.3">
      <c r="A730" t="s">
        <v>2220</v>
      </c>
      <c r="B730" s="1">
        <v>45502</v>
      </c>
      <c r="C730" t="s">
        <v>2221</v>
      </c>
      <c r="D730" t="s">
        <v>58</v>
      </c>
      <c r="E730">
        <v>2</v>
      </c>
      <c r="F730">
        <v>2402</v>
      </c>
      <c r="G730" s="9">
        <v>0.15</v>
      </c>
      <c r="H730" t="s">
        <v>45</v>
      </c>
      <c r="I730" t="s">
        <v>2222</v>
      </c>
      <c r="J730" s="13" t="s">
        <v>14</v>
      </c>
      <c r="K730">
        <v>8</v>
      </c>
      <c r="L730" t="s">
        <v>28</v>
      </c>
      <c r="M730">
        <f>Table1[[#This Row],[UnitPrice]]*Table1[[#This Row],[Quantity]]</f>
        <v>4804</v>
      </c>
      <c r="N730">
        <f>Table1[[#This Row],[Total Price]]*Table1[[#This Row],[Discount]]</f>
        <v>720.6</v>
      </c>
      <c r="O730">
        <f>Table1[[#This Row],[Total Price]]-Table1[[#This Row],[Discount Amount]]</f>
        <v>4083.4</v>
      </c>
    </row>
    <row r="731" spans="1:15" x14ac:dyDescent="0.3">
      <c r="A731" t="s">
        <v>2223</v>
      </c>
      <c r="B731" s="1">
        <v>45177</v>
      </c>
      <c r="C731" t="s">
        <v>2224</v>
      </c>
      <c r="D731" t="s">
        <v>19</v>
      </c>
      <c r="E731">
        <v>1</v>
      </c>
      <c r="F731">
        <v>46063</v>
      </c>
      <c r="G731" s="9">
        <v>0.05</v>
      </c>
      <c r="H731" t="s">
        <v>45</v>
      </c>
      <c r="I731" t="s">
        <v>2225</v>
      </c>
      <c r="J731" s="14" t="s">
        <v>73</v>
      </c>
      <c r="K731">
        <v>6</v>
      </c>
      <c r="L731" t="s">
        <v>60</v>
      </c>
      <c r="M731">
        <f>Table1[[#This Row],[UnitPrice]]*Table1[[#This Row],[Quantity]]</f>
        <v>46063</v>
      </c>
      <c r="N731">
        <f>Table1[[#This Row],[Total Price]]*Table1[[#This Row],[Discount]]</f>
        <v>2303.15</v>
      </c>
      <c r="O731">
        <f>Table1[[#This Row],[Total Price]]-Table1[[#This Row],[Discount Amount]]</f>
        <v>43759.85</v>
      </c>
    </row>
    <row r="732" spans="1:15" x14ac:dyDescent="0.3">
      <c r="A732" t="s">
        <v>2226</v>
      </c>
      <c r="B732" s="1">
        <v>45710</v>
      </c>
      <c r="C732" t="s">
        <v>2227</v>
      </c>
      <c r="D732" t="s">
        <v>19</v>
      </c>
      <c r="E732">
        <v>2</v>
      </c>
      <c r="F732">
        <v>21316</v>
      </c>
      <c r="G732" s="9">
        <v>0.15</v>
      </c>
      <c r="H732" t="s">
        <v>13</v>
      </c>
      <c r="I732" t="s">
        <v>2228</v>
      </c>
      <c r="J732" s="13" t="s">
        <v>37</v>
      </c>
      <c r="K732">
        <v>4</v>
      </c>
      <c r="L732" t="s">
        <v>28</v>
      </c>
      <c r="M732">
        <f>Table1[[#This Row],[UnitPrice]]*Table1[[#This Row],[Quantity]]</f>
        <v>42632</v>
      </c>
      <c r="N732">
        <f>Table1[[#This Row],[Total Price]]*Table1[[#This Row],[Discount]]</f>
        <v>6394.8</v>
      </c>
      <c r="O732">
        <f>Table1[[#This Row],[Total Price]]-Table1[[#This Row],[Discount Amount]]</f>
        <v>36237.199999999997</v>
      </c>
    </row>
    <row r="733" spans="1:15" x14ac:dyDescent="0.3">
      <c r="A733" t="s">
        <v>2229</v>
      </c>
      <c r="B733" s="1">
        <v>45450</v>
      </c>
      <c r="C733" t="s">
        <v>2230</v>
      </c>
      <c r="D733" t="s">
        <v>36</v>
      </c>
      <c r="E733">
        <v>1</v>
      </c>
      <c r="F733">
        <v>9915</v>
      </c>
      <c r="G733" s="9">
        <v>0.2</v>
      </c>
      <c r="H733" t="s">
        <v>26</v>
      </c>
      <c r="I733" t="s">
        <v>2231</v>
      </c>
      <c r="J733" s="14" t="s">
        <v>37</v>
      </c>
      <c r="K733">
        <v>8</v>
      </c>
      <c r="L733" t="s">
        <v>28</v>
      </c>
      <c r="M733">
        <f>Table1[[#This Row],[UnitPrice]]*Table1[[#This Row],[Quantity]]</f>
        <v>9915</v>
      </c>
      <c r="N733">
        <f>Table1[[#This Row],[Total Price]]*Table1[[#This Row],[Discount]]</f>
        <v>1983</v>
      </c>
      <c r="O733">
        <f>Table1[[#This Row],[Total Price]]-Table1[[#This Row],[Discount Amount]]</f>
        <v>7932</v>
      </c>
    </row>
    <row r="734" spans="1:15" x14ac:dyDescent="0.3">
      <c r="A734" t="s">
        <v>2232</v>
      </c>
      <c r="B734" s="1">
        <v>45723</v>
      </c>
      <c r="C734" t="s">
        <v>2233</v>
      </c>
      <c r="D734" t="s">
        <v>44</v>
      </c>
      <c r="E734">
        <v>2</v>
      </c>
      <c r="F734">
        <v>46175</v>
      </c>
      <c r="G734" s="9">
        <v>0.34</v>
      </c>
      <c r="H734" t="s">
        <v>20</v>
      </c>
      <c r="I734" t="s">
        <v>2234</v>
      </c>
      <c r="J734" s="13" t="s">
        <v>37</v>
      </c>
      <c r="K734">
        <v>2</v>
      </c>
      <c r="L734" t="s">
        <v>60</v>
      </c>
      <c r="M734">
        <f>Table1[[#This Row],[UnitPrice]]*Table1[[#This Row],[Quantity]]</f>
        <v>92350</v>
      </c>
      <c r="N734">
        <f>Table1[[#This Row],[Total Price]]*Table1[[#This Row],[Discount]]</f>
        <v>31399.000000000004</v>
      </c>
      <c r="O734">
        <f>Table1[[#This Row],[Total Price]]-Table1[[#This Row],[Discount Amount]]</f>
        <v>60951</v>
      </c>
    </row>
    <row r="735" spans="1:15" x14ac:dyDescent="0.3">
      <c r="A735" t="s">
        <v>2235</v>
      </c>
      <c r="B735" s="1">
        <v>45264</v>
      </c>
      <c r="C735" t="s">
        <v>2236</v>
      </c>
      <c r="D735" t="s">
        <v>25</v>
      </c>
      <c r="E735">
        <v>3</v>
      </c>
      <c r="F735">
        <v>18878</v>
      </c>
      <c r="G735" s="9">
        <v>0.47</v>
      </c>
      <c r="H735" t="s">
        <v>50</v>
      </c>
      <c r="I735" t="s">
        <v>2237</v>
      </c>
      <c r="J735" s="14" t="s">
        <v>73</v>
      </c>
      <c r="K735">
        <v>8</v>
      </c>
      <c r="L735" t="s">
        <v>28</v>
      </c>
      <c r="M735">
        <f>Table1[[#This Row],[UnitPrice]]*Table1[[#This Row],[Quantity]]</f>
        <v>56634</v>
      </c>
      <c r="N735">
        <f>Table1[[#This Row],[Total Price]]*Table1[[#This Row],[Discount]]</f>
        <v>26617.98</v>
      </c>
      <c r="O735">
        <f>Table1[[#This Row],[Total Price]]-Table1[[#This Row],[Discount Amount]]</f>
        <v>30016.02</v>
      </c>
    </row>
    <row r="736" spans="1:15" x14ac:dyDescent="0.3">
      <c r="A736" t="s">
        <v>2238</v>
      </c>
      <c r="B736" s="1">
        <v>45314</v>
      </c>
      <c r="C736" t="s">
        <v>2239</v>
      </c>
      <c r="D736" t="s">
        <v>36</v>
      </c>
      <c r="E736">
        <v>3</v>
      </c>
      <c r="F736">
        <v>6400</v>
      </c>
      <c r="G736" s="9">
        <v>0.4</v>
      </c>
      <c r="H736" t="s">
        <v>26</v>
      </c>
      <c r="I736" t="s">
        <v>2240</v>
      </c>
      <c r="J736" s="13" t="s">
        <v>37</v>
      </c>
      <c r="K736">
        <v>6</v>
      </c>
      <c r="L736" t="s">
        <v>33</v>
      </c>
      <c r="M736">
        <f>Table1[[#This Row],[UnitPrice]]*Table1[[#This Row],[Quantity]]</f>
        <v>19200</v>
      </c>
      <c r="N736">
        <f>Table1[[#This Row],[Total Price]]*Table1[[#This Row],[Discount]]</f>
        <v>7680</v>
      </c>
      <c r="O736">
        <f>Table1[[#This Row],[Total Price]]-Table1[[#This Row],[Discount Amount]]</f>
        <v>11520</v>
      </c>
    </row>
    <row r="737" spans="1:15" x14ac:dyDescent="0.3">
      <c r="A737" t="s">
        <v>2241</v>
      </c>
      <c r="B737" s="1">
        <v>45471</v>
      </c>
      <c r="C737" t="s">
        <v>2242</v>
      </c>
      <c r="D737" t="s">
        <v>12</v>
      </c>
      <c r="E737">
        <v>3</v>
      </c>
      <c r="F737">
        <v>4172</v>
      </c>
      <c r="G737" s="9">
        <v>0.13</v>
      </c>
      <c r="H737" t="s">
        <v>13</v>
      </c>
      <c r="I737" t="s">
        <v>2243</v>
      </c>
      <c r="J737" s="14" t="s">
        <v>73</v>
      </c>
      <c r="K737">
        <v>6</v>
      </c>
      <c r="L737" t="s">
        <v>28</v>
      </c>
      <c r="M737">
        <f>Table1[[#This Row],[UnitPrice]]*Table1[[#This Row],[Quantity]]</f>
        <v>12516</v>
      </c>
      <c r="N737">
        <f>Table1[[#This Row],[Total Price]]*Table1[[#This Row],[Discount]]</f>
        <v>1627.0800000000002</v>
      </c>
      <c r="O737">
        <f>Table1[[#This Row],[Total Price]]-Table1[[#This Row],[Discount Amount]]</f>
        <v>10888.92</v>
      </c>
    </row>
    <row r="738" spans="1:15" x14ac:dyDescent="0.3">
      <c r="A738" t="s">
        <v>2244</v>
      </c>
      <c r="B738" s="1">
        <v>45331</v>
      </c>
      <c r="C738" t="s">
        <v>2245</v>
      </c>
      <c r="D738" t="s">
        <v>12</v>
      </c>
      <c r="E738">
        <v>2</v>
      </c>
      <c r="F738">
        <v>2192</v>
      </c>
      <c r="G738" s="9">
        <v>0.41</v>
      </c>
      <c r="H738" t="s">
        <v>26</v>
      </c>
      <c r="I738" t="s">
        <v>2246</v>
      </c>
      <c r="J738" s="13" t="s">
        <v>73</v>
      </c>
      <c r="K738">
        <v>6</v>
      </c>
      <c r="L738" t="s">
        <v>60</v>
      </c>
      <c r="M738">
        <f>Table1[[#This Row],[UnitPrice]]*Table1[[#This Row],[Quantity]]</f>
        <v>4384</v>
      </c>
      <c r="N738">
        <f>Table1[[#This Row],[Total Price]]*Table1[[#This Row],[Discount]]</f>
        <v>1797.4399999999998</v>
      </c>
      <c r="O738">
        <f>Table1[[#This Row],[Total Price]]-Table1[[#This Row],[Discount Amount]]</f>
        <v>2586.5600000000004</v>
      </c>
    </row>
    <row r="739" spans="1:15" x14ac:dyDescent="0.3">
      <c r="A739" t="s">
        <v>2247</v>
      </c>
      <c r="B739" s="1">
        <v>45294</v>
      </c>
      <c r="C739" t="s">
        <v>2248</v>
      </c>
      <c r="D739" t="s">
        <v>19</v>
      </c>
      <c r="E739">
        <v>1</v>
      </c>
      <c r="F739">
        <v>37160</v>
      </c>
      <c r="G739" s="9">
        <v>0.21</v>
      </c>
      <c r="H739" t="s">
        <v>50</v>
      </c>
      <c r="I739" t="s">
        <v>2249</v>
      </c>
      <c r="J739" s="14" t="s">
        <v>73</v>
      </c>
      <c r="K739">
        <v>9</v>
      </c>
      <c r="L739" t="s">
        <v>16</v>
      </c>
      <c r="M739">
        <f>Table1[[#This Row],[UnitPrice]]*Table1[[#This Row],[Quantity]]</f>
        <v>37160</v>
      </c>
      <c r="N739">
        <f>Table1[[#This Row],[Total Price]]*Table1[[#This Row],[Discount]]</f>
        <v>7803.5999999999995</v>
      </c>
      <c r="O739">
        <f>Table1[[#This Row],[Total Price]]-Table1[[#This Row],[Discount Amount]]</f>
        <v>29356.400000000001</v>
      </c>
    </row>
    <row r="740" spans="1:15" x14ac:dyDescent="0.3">
      <c r="A740" t="s">
        <v>2250</v>
      </c>
      <c r="B740" s="1">
        <v>45812</v>
      </c>
      <c r="C740" t="s">
        <v>2251</v>
      </c>
      <c r="D740" t="s">
        <v>19</v>
      </c>
      <c r="E740">
        <v>2</v>
      </c>
      <c r="F740">
        <v>33942</v>
      </c>
      <c r="G740" s="9">
        <v>0.09</v>
      </c>
      <c r="H740" t="s">
        <v>26</v>
      </c>
      <c r="I740" t="s">
        <v>2252</v>
      </c>
      <c r="J740" s="13" t="s">
        <v>14</v>
      </c>
      <c r="K740">
        <v>5</v>
      </c>
      <c r="L740" t="s">
        <v>28</v>
      </c>
      <c r="M740">
        <f>Table1[[#This Row],[UnitPrice]]*Table1[[#This Row],[Quantity]]</f>
        <v>67884</v>
      </c>
      <c r="N740">
        <f>Table1[[#This Row],[Total Price]]*Table1[[#This Row],[Discount]]</f>
        <v>6109.5599999999995</v>
      </c>
      <c r="O740">
        <f>Table1[[#This Row],[Total Price]]-Table1[[#This Row],[Discount Amount]]</f>
        <v>61774.44</v>
      </c>
    </row>
    <row r="741" spans="1:15" x14ac:dyDescent="0.3">
      <c r="A741" t="s">
        <v>2253</v>
      </c>
      <c r="B741" s="1">
        <v>45456</v>
      </c>
      <c r="C741" t="s">
        <v>2254</v>
      </c>
      <c r="D741" t="s">
        <v>19</v>
      </c>
      <c r="E741">
        <v>2</v>
      </c>
      <c r="F741">
        <v>48986</v>
      </c>
      <c r="G741" s="9">
        <v>0.23</v>
      </c>
      <c r="H741" t="s">
        <v>50</v>
      </c>
      <c r="I741" t="s">
        <v>2255</v>
      </c>
      <c r="J741" s="14" t="s">
        <v>37</v>
      </c>
      <c r="K741">
        <v>4</v>
      </c>
      <c r="L741" t="s">
        <v>33</v>
      </c>
      <c r="M741">
        <f>Table1[[#This Row],[UnitPrice]]*Table1[[#This Row],[Quantity]]</f>
        <v>97972</v>
      </c>
      <c r="N741">
        <f>Table1[[#This Row],[Total Price]]*Table1[[#This Row],[Discount]]</f>
        <v>22533.56</v>
      </c>
      <c r="O741">
        <f>Table1[[#This Row],[Total Price]]-Table1[[#This Row],[Discount Amount]]</f>
        <v>75438.44</v>
      </c>
    </row>
    <row r="742" spans="1:15" x14ac:dyDescent="0.3">
      <c r="A742" t="s">
        <v>2256</v>
      </c>
      <c r="B742" s="1">
        <v>45493</v>
      </c>
      <c r="C742" t="s">
        <v>2257</v>
      </c>
      <c r="D742" t="s">
        <v>58</v>
      </c>
      <c r="E742">
        <v>1</v>
      </c>
      <c r="F742">
        <v>1667</v>
      </c>
      <c r="G742" s="9">
        <v>0.28000000000000003</v>
      </c>
      <c r="H742" t="s">
        <v>50</v>
      </c>
      <c r="I742" t="s">
        <v>2258</v>
      </c>
      <c r="J742" s="13" t="s">
        <v>73</v>
      </c>
      <c r="K742">
        <v>7</v>
      </c>
      <c r="L742" t="s">
        <v>60</v>
      </c>
      <c r="M742">
        <f>Table1[[#This Row],[UnitPrice]]*Table1[[#This Row],[Quantity]]</f>
        <v>1667</v>
      </c>
      <c r="N742">
        <f>Table1[[#This Row],[Total Price]]*Table1[[#This Row],[Discount]]</f>
        <v>466.76000000000005</v>
      </c>
      <c r="O742">
        <f>Table1[[#This Row],[Total Price]]-Table1[[#This Row],[Discount Amount]]</f>
        <v>1200.24</v>
      </c>
    </row>
    <row r="743" spans="1:15" x14ac:dyDescent="0.3">
      <c r="A743" t="s">
        <v>2259</v>
      </c>
      <c r="B743" s="1">
        <v>45680</v>
      </c>
      <c r="C743" t="s">
        <v>2260</v>
      </c>
      <c r="D743" t="s">
        <v>12</v>
      </c>
      <c r="E743">
        <v>3</v>
      </c>
      <c r="F743">
        <v>5652</v>
      </c>
      <c r="G743" s="9">
        <v>0.38</v>
      </c>
      <c r="H743" t="s">
        <v>45</v>
      </c>
      <c r="I743" t="s">
        <v>2261</v>
      </c>
      <c r="J743" s="14" t="s">
        <v>37</v>
      </c>
      <c r="K743">
        <v>10</v>
      </c>
      <c r="L743" t="s">
        <v>22</v>
      </c>
      <c r="M743">
        <f>Table1[[#This Row],[UnitPrice]]*Table1[[#This Row],[Quantity]]</f>
        <v>16956</v>
      </c>
      <c r="N743">
        <f>Table1[[#This Row],[Total Price]]*Table1[[#This Row],[Discount]]</f>
        <v>6443.28</v>
      </c>
      <c r="O743">
        <f>Table1[[#This Row],[Total Price]]-Table1[[#This Row],[Discount Amount]]</f>
        <v>10512.720000000001</v>
      </c>
    </row>
    <row r="744" spans="1:15" x14ac:dyDescent="0.3">
      <c r="A744" t="s">
        <v>2262</v>
      </c>
      <c r="B744" s="1">
        <v>45626</v>
      </c>
      <c r="C744" t="s">
        <v>2263</v>
      </c>
      <c r="D744" t="s">
        <v>44</v>
      </c>
      <c r="E744">
        <v>3</v>
      </c>
      <c r="F744">
        <v>24867</v>
      </c>
      <c r="G744" s="9">
        <v>0.17</v>
      </c>
      <c r="H744" t="s">
        <v>50</v>
      </c>
      <c r="I744" t="s">
        <v>2264</v>
      </c>
      <c r="J744" s="13" t="s">
        <v>73</v>
      </c>
      <c r="K744">
        <v>7</v>
      </c>
      <c r="L744" t="s">
        <v>60</v>
      </c>
      <c r="M744">
        <f>Table1[[#This Row],[UnitPrice]]*Table1[[#This Row],[Quantity]]</f>
        <v>74601</v>
      </c>
      <c r="N744">
        <f>Table1[[#This Row],[Total Price]]*Table1[[#This Row],[Discount]]</f>
        <v>12682.17</v>
      </c>
      <c r="O744">
        <f>Table1[[#This Row],[Total Price]]-Table1[[#This Row],[Discount Amount]]</f>
        <v>61918.83</v>
      </c>
    </row>
    <row r="745" spans="1:15" x14ac:dyDescent="0.3">
      <c r="A745" t="s">
        <v>2265</v>
      </c>
      <c r="B745" s="1">
        <v>45565</v>
      </c>
      <c r="C745" t="s">
        <v>2266</v>
      </c>
      <c r="D745" t="s">
        <v>12</v>
      </c>
      <c r="E745">
        <v>1</v>
      </c>
      <c r="F745">
        <v>3041</v>
      </c>
      <c r="G745" s="9">
        <v>7.0000000000000007E-2</v>
      </c>
      <c r="H745" t="s">
        <v>45</v>
      </c>
      <c r="I745" t="s">
        <v>2267</v>
      </c>
      <c r="J745" s="14" t="s">
        <v>37</v>
      </c>
      <c r="K745">
        <v>1</v>
      </c>
      <c r="L745" t="s">
        <v>16</v>
      </c>
      <c r="M745">
        <f>Table1[[#This Row],[UnitPrice]]*Table1[[#This Row],[Quantity]]</f>
        <v>3041</v>
      </c>
      <c r="N745">
        <f>Table1[[#This Row],[Total Price]]*Table1[[#This Row],[Discount]]</f>
        <v>212.87000000000003</v>
      </c>
      <c r="O745">
        <f>Table1[[#This Row],[Total Price]]-Table1[[#This Row],[Discount Amount]]</f>
        <v>2828.13</v>
      </c>
    </row>
    <row r="746" spans="1:15" x14ac:dyDescent="0.3">
      <c r="A746" t="s">
        <v>2268</v>
      </c>
      <c r="B746" s="1">
        <v>45455</v>
      </c>
      <c r="C746" t="s">
        <v>2269</v>
      </c>
      <c r="D746" t="s">
        <v>25</v>
      </c>
      <c r="E746">
        <v>2</v>
      </c>
      <c r="F746">
        <v>11847</v>
      </c>
      <c r="G746" s="9">
        <v>0.05</v>
      </c>
      <c r="H746" t="s">
        <v>50</v>
      </c>
      <c r="I746" t="s">
        <v>2270</v>
      </c>
      <c r="J746" s="13" t="s">
        <v>37</v>
      </c>
      <c r="K746">
        <v>5</v>
      </c>
      <c r="L746" t="s">
        <v>60</v>
      </c>
      <c r="M746">
        <f>Table1[[#This Row],[UnitPrice]]*Table1[[#This Row],[Quantity]]</f>
        <v>23694</v>
      </c>
      <c r="N746">
        <f>Table1[[#This Row],[Total Price]]*Table1[[#This Row],[Discount]]</f>
        <v>1184.7</v>
      </c>
      <c r="O746">
        <f>Table1[[#This Row],[Total Price]]-Table1[[#This Row],[Discount Amount]]</f>
        <v>22509.3</v>
      </c>
    </row>
    <row r="747" spans="1:15" x14ac:dyDescent="0.3">
      <c r="A747" t="s">
        <v>2271</v>
      </c>
      <c r="B747" s="1">
        <v>44987</v>
      </c>
      <c r="C747" t="s">
        <v>2272</v>
      </c>
      <c r="D747" t="s">
        <v>36</v>
      </c>
      <c r="E747">
        <v>2</v>
      </c>
      <c r="F747">
        <v>6939</v>
      </c>
      <c r="G747" s="9">
        <v>0.06</v>
      </c>
      <c r="H747" t="s">
        <v>13</v>
      </c>
      <c r="I747" t="s">
        <v>2273</v>
      </c>
      <c r="J747" s="14" t="s">
        <v>73</v>
      </c>
      <c r="K747">
        <v>7</v>
      </c>
      <c r="L747" t="s">
        <v>28</v>
      </c>
      <c r="M747">
        <f>Table1[[#This Row],[UnitPrice]]*Table1[[#This Row],[Quantity]]</f>
        <v>13878</v>
      </c>
      <c r="N747">
        <f>Table1[[#This Row],[Total Price]]*Table1[[#This Row],[Discount]]</f>
        <v>832.68</v>
      </c>
      <c r="O747">
        <f>Table1[[#This Row],[Total Price]]-Table1[[#This Row],[Discount Amount]]</f>
        <v>13045.32</v>
      </c>
    </row>
    <row r="748" spans="1:15" x14ac:dyDescent="0.3">
      <c r="A748" t="s">
        <v>2274</v>
      </c>
      <c r="B748" s="1">
        <v>45712</v>
      </c>
      <c r="C748" t="s">
        <v>2275</v>
      </c>
      <c r="D748" t="s">
        <v>58</v>
      </c>
      <c r="E748">
        <v>2</v>
      </c>
      <c r="F748">
        <v>3150</v>
      </c>
      <c r="G748" s="9">
        <v>0.48</v>
      </c>
      <c r="H748" t="s">
        <v>20</v>
      </c>
      <c r="I748" t="s">
        <v>2276</v>
      </c>
      <c r="J748" s="13" t="s">
        <v>37</v>
      </c>
      <c r="K748">
        <v>6</v>
      </c>
      <c r="L748" t="s">
        <v>22</v>
      </c>
      <c r="M748">
        <f>Table1[[#This Row],[UnitPrice]]*Table1[[#This Row],[Quantity]]</f>
        <v>6300</v>
      </c>
      <c r="N748">
        <f>Table1[[#This Row],[Total Price]]*Table1[[#This Row],[Discount]]</f>
        <v>3024</v>
      </c>
      <c r="O748">
        <f>Table1[[#This Row],[Total Price]]-Table1[[#This Row],[Discount Amount]]</f>
        <v>3276</v>
      </c>
    </row>
    <row r="749" spans="1:15" x14ac:dyDescent="0.3">
      <c r="A749" t="s">
        <v>2277</v>
      </c>
      <c r="B749" s="1">
        <v>45728</v>
      </c>
      <c r="C749" t="s">
        <v>2278</v>
      </c>
      <c r="D749" t="s">
        <v>25</v>
      </c>
      <c r="E749">
        <v>1</v>
      </c>
      <c r="F749">
        <v>3714</v>
      </c>
      <c r="G749" s="9">
        <v>0.48</v>
      </c>
      <c r="H749" t="s">
        <v>13</v>
      </c>
      <c r="I749" t="s">
        <v>2279</v>
      </c>
      <c r="J749" s="14" t="s">
        <v>37</v>
      </c>
      <c r="K749">
        <v>7</v>
      </c>
      <c r="L749" t="s">
        <v>16</v>
      </c>
      <c r="M749">
        <f>Table1[[#This Row],[UnitPrice]]*Table1[[#This Row],[Quantity]]</f>
        <v>3714</v>
      </c>
      <c r="N749">
        <f>Table1[[#This Row],[Total Price]]*Table1[[#This Row],[Discount]]</f>
        <v>1782.72</v>
      </c>
      <c r="O749">
        <f>Table1[[#This Row],[Total Price]]-Table1[[#This Row],[Discount Amount]]</f>
        <v>1931.28</v>
      </c>
    </row>
    <row r="750" spans="1:15" x14ac:dyDescent="0.3">
      <c r="A750" t="s">
        <v>2280</v>
      </c>
      <c r="B750" s="1">
        <v>45488</v>
      </c>
      <c r="C750" t="s">
        <v>2281</v>
      </c>
      <c r="D750" t="s">
        <v>25</v>
      </c>
      <c r="E750">
        <v>3</v>
      </c>
      <c r="F750">
        <v>14235</v>
      </c>
      <c r="G750" s="9">
        <v>0.48</v>
      </c>
      <c r="H750" t="s">
        <v>26</v>
      </c>
      <c r="I750" t="s">
        <v>2282</v>
      </c>
      <c r="J750" s="13" t="s">
        <v>14</v>
      </c>
      <c r="K750">
        <v>8</v>
      </c>
      <c r="L750" t="s">
        <v>22</v>
      </c>
      <c r="M750">
        <f>Table1[[#This Row],[UnitPrice]]*Table1[[#This Row],[Quantity]]</f>
        <v>42705</v>
      </c>
      <c r="N750">
        <f>Table1[[#This Row],[Total Price]]*Table1[[#This Row],[Discount]]</f>
        <v>20498.399999999998</v>
      </c>
      <c r="O750">
        <f>Table1[[#This Row],[Total Price]]-Table1[[#This Row],[Discount Amount]]</f>
        <v>22206.600000000002</v>
      </c>
    </row>
    <row r="751" spans="1:15" x14ac:dyDescent="0.3">
      <c r="A751" t="s">
        <v>2283</v>
      </c>
      <c r="B751" s="1">
        <v>45760</v>
      </c>
      <c r="C751" t="s">
        <v>2284</v>
      </c>
      <c r="D751" t="s">
        <v>44</v>
      </c>
      <c r="E751">
        <v>3</v>
      </c>
      <c r="F751">
        <v>68786</v>
      </c>
      <c r="G751" s="9">
        <v>0.15</v>
      </c>
      <c r="H751" t="s">
        <v>13</v>
      </c>
      <c r="I751" t="s">
        <v>2285</v>
      </c>
      <c r="J751" s="14" t="s">
        <v>73</v>
      </c>
      <c r="K751">
        <v>4</v>
      </c>
      <c r="L751" t="s">
        <v>16</v>
      </c>
      <c r="M751">
        <f>Table1[[#This Row],[UnitPrice]]*Table1[[#This Row],[Quantity]]</f>
        <v>206358</v>
      </c>
      <c r="N751">
        <f>Table1[[#This Row],[Total Price]]*Table1[[#This Row],[Discount]]</f>
        <v>30953.699999999997</v>
      </c>
      <c r="O751">
        <f>Table1[[#This Row],[Total Price]]-Table1[[#This Row],[Discount Amount]]</f>
        <v>175404.3</v>
      </c>
    </row>
    <row r="752" spans="1:15" x14ac:dyDescent="0.3">
      <c r="A752" t="s">
        <v>2286</v>
      </c>
      <c r="B752" s="1">
        <v>44940</v>
      </c>
      <c r="C752" t="s">
        <v>2287</v>
      </c>
      <c r="D752" t="s">
        <v>25</v>
      </c>
      <c r="E752">
        <v>1</v>
      </c>
      <c r="F752">
        <v>7839</v>
      </c>
      <c r="G752" s="9">
        <v>0.1</v>
      </c>
      <c r="H752" t="s">
        <v>26</v>
      </c>
      <c r="I752" t="s">
        <v>2288</v>
      </c>
      <c r="J752" s="13" t="s">
        <v>73</v>
      </c>
      <c r="K752">
        <v>7</v>
      </c>
      <c r="L752" t="s">
        <v>28</v>
      </c>
      <c r="M752">
        <f>Table1[[#This Row],[UnitPrice]]*Table1[[#This Row],[Quantity]]</f>
        <v>7839</v>
      </c>
      <c r="N752">
        <f>Table1[[#This Row],[Total Price]]*Table1[[#This Row],[Discount]]</f>
        <v>783.90000000000009</v>
      </c>
      <c r="O752">
        <f>Table1[[#This Row],[Total Price]]-Table1[[#This Row],[Discount Amount]]</f>
        <v>7055.1</v>
      </c>
    </row>
    <row r="753" spans="1:15" x14ac:dyDescent="0.3">
      <c r="A753" t="s">
        <v>2289</v>
      </c>
      <c r="B753" s="1">
        <v>44950</v>
      </c>
      <c r="C753" t="s">
        <v>2290</v>
      </c>
      <c r="D753" t="s">
        <v>25</v>
      </c>
      <c r="E753">
        <v>2</v>
      </c>
      <c r="F753">
        <v>6161</v>
      </c>
      <c r="G753" s="9">
        <v>0.49</v>
      </c>
      <c r="H753" t="s">
        <v>45</v>
      </c>
      <c r="I753" t="s">
        <v>2291</v>
      </c>
      <c r="J753" s="14" t="s">
        <v>73</v>
      </c>
      <c r="K753">
        <v>7</v>
      </c>
      <c r="L753" t="s">
        <v>33</v>
      </c>
      <c r="M753">
        <f>Table1[[#This Row],[UnitPrice]]*Table1[[#This Row],[Quantity]]</f>
        <v>12322</v>
      </c>
      <c r="N753">
        <f>Table1[[#This Row],[Total Price]]*Table1[[#This Row],[Discount]]</f>
        <v>6037.78</v>
      </c>
      <c r="O753">
        <f>Table1[[#This Row],[Total Price]]-Table1[[#This Row],[Discount Amount]]</f>
        <v>6284.22</v>
      </c>
    </row>
    <row r="754" spans="1:15" x14ac:dyDescent="0.3">
      <c r="A754" t="s">
        <v>2292</v>
      </c>
      <c r="B754" s="1">
        <v>45568</v>
      </c>
      <c r="C754" t="s">
        <v>2293</v>
      </c>
      <c r="D754" t="s">
        <v>19</v>
      </c>
      <c r="E754">
        <v>3</v>
      </c>
      <c r="F754">
        <v>39406</v>
      </c>
      <c r="G754" s="9">
        <v>0.49</v>
      </c>
      <c r="H754" t="s">
        <v>26</v>
      </c>
      <c r="I754" t="s">
        <v>2294</v>
      </c>
      <c r="J754" s="13" t="s">
        <v>37</v>
      </c>
      <c r="K754">
        <v>8</v>
      </c>
      <c r="L754" t="s">
        <v>60</v>
      </c>
      <c r="M754">
        <f>Table1[[#This Row],[UnitPrice]]*Table1[[#This Row],[Quantity]]</f>
        <v>118218</v>
      </c>
      <c r="N754">
        <f>Table1[[#This Row],[Total Price]]*Table1[[#This Row],[Discount]]</f>
        <v>57926.82</v>
      </c>
      <c r="O754">
        <f>Table1[[#This Row],[Total Price]]-Table1[[#This Row],[Discount Amount]]</f>
        <v>60291.18</v>
      </c>
    </row>
    <row r="755" spans="1:15" x14ac:dyDescent="0.3">
      <c r="A755" t="s">
        <v>2295</v>
      </c>
      <c r="B755" s="1">
        <v>45406</v>
      </c>
      <c r="C755" t="s">
        <v>2296</v>
      </c>
      <c r="D755" t="s">
        <v>19</v>
      </c>
      <c r="E755">
        <v>3</v>
      </c>
      <c r="F755">
        <v>24300</v>
      </c>
      <c r="G755" s="9">
        <v>0.04</v>
      </c>
      <c r="H755" t="s">
        <v>13</v>
      </c>
      <c r="I755" t="s">
        <v>2297</v>
      </c>
      <c r="J755" s="14" t="s">
        <v>73</v>
      </c>
      <c r="K755">
        <v>7</v>
      </c>
      <c r="L755" t="s">
        <v>16</v>
      </c>
      <c r="M755">
        <f>Table1[[#This Row],[UnitPrice]]*Table1[[#This Row],[Quantity]]</f>
        <v>72900</v>
      </c>
      <c r="N755">
        <f>Table1[[#This Row],[Total Price]]*Table1[[#This Row],[Discount]]</f>
        <v>2916</v>
      </c>
      <c r="O755">
        <f>Table1[[#This Row],[Total Price]]-Table1[[#This Row],[Discount Amount]]</f>
        <v>69984</v>
      </c>
    </row>
    <row r="756" spans="1:15" x14ac:dyDescent="0.3">
      <c r="A756" t="s">
        <v>2298</v>
      </c>
      <c r="B756" s="1">
        <v>45808</v>
      </c>
      <c r="C756" t="s">
        <v>2299</v>
      </c>
      <c r="D756" t="s">
        <v>36</v>
      </c>
      <c r="E756">
        <v>1</v>
      </c>
      <c r="F756">
        <v>8267</v>
      </c>
      <c r="G756" s="9">
        <v>0.38</v>
      </c>
      <c r="H756" t="s">
        <v>26</v>
      </c>
      <c r="I756" t="s">
        <v>2300</v>
      </c>
      <c r="J756" s="13" t="s">
        <v>14</v>
      </c>
      <c r="K756">
        <v>3</v>
      </c>
      <c r="L756" t="s">
        <v>28</v>
      </c>
      <c r="M756">
        <f>Table1[[#This Row],[UnitPrice]]*Table1[[#This Row],[Quantity]]</f>
        <v>8267</v>
      </c>
      <c r="N756">
        <f>Table1[[#This Row],[Total Price]]*Table1[[#This Row],[Discount]]</f>
        <v>3141.46</v>
      </c>
      <c r="O756">
        <f>Table1[[#This Row],[Total Price]]-Table1[[#This Row],[Discount Amount]]</f>
        <v>5125.54</v>
      </c>
    </row>
    <row r="757" spans="1:15" x14ac:dyDescent="0.3">
      <c r="A757" t="s">
        <v>2301</v>
      </c>
      <c r="B757" s="1">
        <v>45090</v>
      </c>
      <c r="C757" t="s">
        <v>2302</v>
      </c>
      <c r="D757" t="s">
        <v>58</v>
      </c>
      <c r="E757">
        <v>2</v>
      </c>
      <c r="F757">
        <v>4074</v>
      </c>
      <c r="G757" s="9">
        <v>0.14000000000000001</v>
      </c>
      <c r="H757" t="s">
        <v>26</v>
      </c>
      <c r="I757" t="s">
        <v>2303</v>
      </c>
      <c r="J757" s="14" t="s">
        <v>73</v>
      </c>
      <c r="K757">
        <v>4</v>
      </c>
      <c r="L757" t="s">
        <v>28</v>
      </c>
      <c r="M757">
        <f>Table1[[#This Row],[UnitPrice]]*Table1[[#This Row],[Quantity]]</f>
        <v>8148</v>
      </c>
      <c r="N757">
        <f>Table1[[#This Row],[Total Price]]*Table1[[#This Row],[Discount]]</f>
        <v>1140.72</v>
      </c>
      <c r="O757">
        <f>Table1[[#This Row],[Total Price]]-Table1[[#This Row],[Discount Amount]]</f>
        <v>7007.28</v>
      </c>
    </row>
    <row r="758" spans="1:15" x14ac:dyDescent="0.3">
      <c r="A758" t="s">
        <v>2304</v>
      </c>
      <c r="B758" s="1">
        <v>45470</v>
      </c>
      <c r="C758" t="s">
        <v>2305</v>
      </c>
      <c r="D758" t="s">
        <v>19</v>
      </c>
      <c r="E758">
        <v>1</v>
      </c>
      <c r="F758">
        <v>29280</v>
      </c>
      <c r="G758" s="9">
        <v>0.45</v>
      </c>
      <c r="H758" t="s">
        <v>45</v>
      </c>
      <c r="I758" t="s">
        <v>2306</v>
      </c>
      <c r="J758" s="13" t="s">
        <v>14</v>
      </c>
      <c r="K758">
        <v>6</v>
      </c>
      <c r="L758" t="s">
        <v>60</v>
      </c>
      <c r="M758">
        <f>Table1[[#This Row],[UnitPrice]]*Table1[[#This Row],[Quantity]]</f>
        <v>29280</v>
      </c>
      <c r="N758">
        <f>Table1[[#This Row],[Total Price]]*Table1[[#This Row],[Discount]]</f>
        <v>13176</v>
      </c>
      <c r="O758">
        <f>Table1[[#This Row],[Total Price]]-Table1[[#This Row],[Discount Amount]]</f>
        <v>16104</v>
      </c>
    </row>
    <row r="759" spans="1:15" x14ac:dyDescent="0.3">
      <c r="A759" t="s">
        <v>2307</v>
      </c>
      <c r="B759" s="1">
        <v>45344</v>
      </c>
      <c r="C759" t="s">
        <v>2308</v>
      </c>
      <c r="D759" t="s">
        <v>58</v>
      </c>
      <c r="E759">
        <v>3</v>
      </c>
      <c r="F759">
        <v>6009</v>
      </c>
      <c r="G759" s="9">
        <v>0.04</v>
      </c>
      <c r="H759" t="s">
        <v>13</v>
      </c>
      <c r="I759" t="s">
        <v>2309</v>
      </c>
      <c r="J759" s="14" t="s">
        <v>37</v>
      </c>
      <c r="K759">
        <v>2</v>
      </c>
      <c r="L759" t="s">
        <v>60</v>
      </c>
      <c r="M759">
        <f>Table1[[#This Row],[UnitPrice]]*Table1[[#This Row],[Quantity]]</f>
        <v>18027</v>
      </c>
      <c r="N759">
        <f>Table1[[#This Row],[Total Price]]*Table1[[#This Row],[Discount]]</f>
        <v>721.08</v>
      </c>
      <c r="O759">
        <f>Table1[[#This Row],[Total Price]]-Table1[[#This Row],[Discount Amount]]</f>
        <v>17305.919999999998</v>
      </c>
    </row>
    <row r="760" spans="1:15" x14ac:dyDescent="0.3">
      <c r="A760" t="s">
        <v>2310</v>
      </c>
      <c r="B760" s="1">
        <v>45011</v>
      </c>
      <c r="C760" t="s">
        <v>2311</v>
      </c>
      <c r="D760" t="s">
        <v>25</v>
      </c>
      <c r="E760">
        <v>3</v>
      </c>
      <c r="F760">
        <v>10252</v>
      </c>
      <c r="G760" s="9">
        <v>0.44</v>
      </c>
      <c r="H760" t="s">
        <v>26</v>
      </c>
      <c r="I760" t="s">
        <v>2312</v>
      </c>
      <c r="J760" s="13" t="s">
        <v>73</v>
      </c>
      <c r="K760">
        <v>8</v>
      </c>
      <c r="L760" t="s">
        <v>33</v>
      </c>
      <c r="M760">
        <f>Table1[[#This Row],[UnitPrice]]*Table1[[#This Row],[Quantity]]</f>
        <v>30756</v>
      </c>
      <c r="N760">
        <f>Table1[[#This Row],[Total Price]]*Table1[[#This Row],[Discount]]</f>
        <v>13532.64</v>
      </c>
      <c r="O760">
        <f>Table1[[#This Row],[Total Price]]-Table1[[#This Row],[Discount Amount]]</f>
        <v>17223.36</v>
      </c>
    </row>
    <row r="761" spans="1:15" x14ac:dyDescent="0.3">
      <c r="A761" t="s">
        <v>2313</v>
      </c>
      <c r="B761" s="1">
        <v>45131</v>
      </c>
      <c r="C761" t="s">
        <v>2314</v>
      </c>
      <c r="D761" t="s">
        <v>58</v>
      </c>
      <c r="E761">
        <v>1</v>
      </c>
      <c r="F761">
        <v>6789</v>
      </c>
      <c r="G761" s="9">
        <v>0</v>
      </c>
      <c r="H761" t="s">
        <v>50</v>
      </c>
      <c r="I761" t="s">
        <v>2315</v>
      </c>
      <c r="J761" s="14" t="s">
        <v>73</v>
      </c>
      <c r="K761">
        <v>3</v>
      </c>
      <c r="L761" t="s">
        <v>33</v>
      </c>
      <c r="M761">
        <f>Table1[[#This Row],[UnitPrice]]*Table1[[#This Row],[Quantity]]</f>
        <v>6789</v>
      </c>
      <c r="N761">
        <f>Table1[[#This Row],[Total Price]]*Table1[[#This Row],[Discount]]</f>
        <v>0</v>
      </c>
      <c r="O761">
        <f>Table1[[#This Row],[Total Price]]-Table1[[#This Row],[Discount Amount]]</f>
        <v>6789</v>
      </c>
    </row>
    <row r="762" spans="1:15" x14ac:dyDescent="0.3">
      <c r="A762" t="s">
        <v>2316</v>
      </c>
      <c r="B762" s="1">
        <v>45706</v>
      </c>
      <c r="C762" t="s">
        <v>2317</v>
      </c>
      <c r="D762" t="s">
        <v>58</v>
      </c>
      <c r="E762">
        <v>2</v>
      </c>
      <c r="F762">
        <v>1776</v>
      </c>
      <c r="G762" s="9">
        <v>0.26</v>
      </c>
      <c r="H762" t="s">
        <v>13</v>
      </c>
      <c r="I762" t="s">
        <v>2318</v>
      </c>
      <c r="J762" s="13" t="s">
        <v>37</v>
      </c>
      <c r="K762">
        <v>5</v>
      </c>
      <c r="L762" t="s">
        <v>60</v>
      </c>
      <c r="M762">
        <f>Table1[[#This Row],[UnitPrice]]*Table1[[#This Row],[Quantity]]</f>
        <v>3552</v>
      </c>
      <c r="N762">
        <f>Table1[[#This Row],[Total Price]]*Table1[[#This Row],[Discount]]</f>
        <v>923.52</v>
      </c>
      <c r="O762">
        <f>Table1[[#This Row],[Total Price]]-Table1[[#This Row],[Discount Amount]]</f>
        <v>2628.48</v>
      </c>
    </row>
    <row r="763" spans="1:15" x14ac:dyDescent="0.3">
      <c r="A763" t="s">
        <v>2319</v>
      </c>
      <c r="B763" s="1">
        <v>45079</v>
      </c>
      <c r="C763" t="s">
        <v>2320</v>
      </c>
      <c r="D763" t="s">
        <v>58</v>
      </c>
      <c r="E763">
        <v>2</v>
      </c>
      <c r="F763">
        <v>9479</v>
      </c>
      <c r="G763" s="9">
        <v>0.17</v>
      </c>
      <c r="H763" t="s">
        <v>13</v>
      </c>
      <c r="I763" t="s">
        <v>2321</v>
      </c>
      <c r="J763" s="14" t="s">
        <v>37</v>
      </c>
      <c r="K763">
        <v>7</v>
      </c>
      <c r="L763" t="s">
        <v>60</v>
      </c>
      <c r="M763">
        <f>Table1[[#This Row],[UnitPrice]]*Table1[[#This Row],[Quantity]]</f>
        <v>18958</v>
      </c>
      <c r="N763">
        <f>Table1[[#This Row],[Total Price]]*Table1[[#This Row],[Discount]]</f>
        <v>3222.86</v>
      </c>
      <c r="O763">
        <f>Table1[[#This Row],[Total Price]]-Table1[[#This Row],[Discount Amount]]</f>
        <v>15735.14</v>
      </c>
    </row>
    <row r="764" spans="1:15" x14ac:dyDescent="0.3">
      <c r="A764" t="s">
        <v>2322</v>
      </c>
      <c r="B764" s="1">
        <v>45552</v>
      </c>
      <c r="C764" t="s">
        <v>2323</v>
      </c>
      <c r="D764" t="s">
        <v>19</v>
      </c>
      <c r="E764">
        <v>1</v>
      </c>
      <c r="F764">
        <v>42377</v>
      </c>
      <c r="G764" s="9">
        <v>0.21</v>
      </c>
      <c r="H764" t="s">
        <v>50</v>
      </c>
      <c r="I764" t="s">
        <v>2324</v>
      </c>
      <c r="J764" s="13" t="s">
        <v>14</v>
      </c>
      <c r="K764">
        <v>8</v>
      </c>
      <c r="L764" t="s">
        <v>28</v>
      </c>
      <c r="M764">
        <f>Table1[[#This Row],[UnitPrice]]*Table1[[#This Row],[Quantity]]</f>
        <v>42377</v>
      </c>
      <c r="N764">
        <f>Table1[[#This Row],[Total Price]]*Table1[[#This Row],[Discount]]</f>
        <v>8899.17</v>
      </c>
      <c r="O764">
        <f>Table1[[#This Row],[Total Price]]-Table1[[#This Row],[Discount Amount]]</f>
        <v>33477.83</v>
      </c>
    </row>
    <row r="765" spans="1:15" x14ac:dyDescent="0.3">
      <c r="A765" t="s">
        <v>2325</v>
      </c>
      <c r="B765" s="1">
        <v>45022</v>
      </c>
      <c r="C765" t="s">
        <v>2326</v>
      </c>
      <c r="D765" t="s">
        <v>44</v>
      </c>
      <c r="E765">
        <v>2</v>
      </c>
      <c r="F765">
        <v>59658</v>
      </c>
      <c r="G765" s="9">
        <v>0.22</v>
      </c>
      <c r="H765" t="s">
        <v>20</v>
      </c>
      <c r="I765" t="s">
        <v>2327</v>
      </c>
      <c r="J765" s="14" t="s">
        <v>37</v>
      </c>
      <c r="K765">
        <v>4</v>
      </c>
      <c r="L765" t="s">
        <v>28</v>
      </c>
      <c r="M765">
        <f>Table1[[#This Row],[UnitPrice]]*Table1[[#This Row],[Quantity]]</f>
        <v>119316</v>
      </c>
      <c r="N765">
        <f>Table1[[#This Row],[Total Price]]*Table1[[#This Row],[Discount]]</f>
        <v>26249.52</v>
      </c>
      <c r="O765">
        <f>Table1[[#This Row],[Total Price]]-Table1[[#This Row],[Discount Amount]]</f>
        <v>93066.48</v>
      </c>
    </row>
    <row r="766" spans="1:15" x14ac:dyDescent="0.3">
      <c r="A766" t="s">
        <v>2328</v>
      </c>
      <c r="B766" s="1">
        <v>45361</v>
      </c>
      <c r="C766" t="s">
        <v>2329</v>
      </c>
      <c r="D766" t="s">
        <v>44</v>
      </c>
      <c r="E766">
        <v>2</v>
      </c>
      <c r="F766">
        <v>76757</v>
      </c>
      <c r="G766" s="9">
        <v>0.33</v>
      </c>
      <c r="H766" t="s">
        <v>26</v>
      </c>
      <c r="I766" t="s">
        <v>2330</v>
      </c>
      <c r="J766" s="13" t="s">
        <v>73</v>
      </c>
      <c r="K766">
        <v>10</v>
      </c>
      <c r="L766" t="s">
        <v>28</v>
      </c>
      <c r="M766">
        <f>Table1[[#This Row],[UnitPrice]]*Table1[[#This Row],[Quantity]]</f>
        <v>153514</v>
      </c>
      <c r="N766">
        <f>Table1[[#This Row],[Total Price]]*Table1[[#This Row],[Discount]]</f>
        <v>50659.62</v>
      </c>
      <c r="O766">
        <f>Table1[[#This Row],[Total Price]]-Table1[[#This Row],[Discount Amount]]</f>
        <v>102854.38</v>
      </c>
    </row>
    <row r="767" spans="1:15" x14ac:dyDescent="0.3">
      <c r="A767" t="s">
        <v>2331</v>
      </c>
      <c r="B767" s="1">
        <v>45205</v>
      </c>
      <c r="C767" t="s">
        <v>2332</v>
      </c>
      <c r="D767" t="s">
        <v>44</v>
      </c>
      <c r="E767">
        <v>3</v>
      </c>
      <c r="F767">
        <v>58345</v>
      </c>
      <c r="G767" s="9">
        <v>0.01</v>
      </c>
      <c r="H767" t="s">
        <v>13</v>
      </c>
      <c r="I767" t="s">
        <v>2333</v>
      </c>
      <c r="J767" s="14" t="s">
        <v>14</v>
      </c>
      <c r="K767">
        <v>5</v>
      </c>
      <c r="L767" t="s">
        <v>60</v>
      </c>
      <c r="M767">
        <f>Table1[[#This Row],[UnitPrice]]*Table1[[#This Row],[Quantity]]</f>
        <v>175035</v>
      </c>
      <c r="N767">
        <f>Table1[[#This Row],[Total Price]]*Table1[[#This Row],[Discount]]</f>
        <v>1750.3500000000001</v>
      </c>
      <c r="O767">
        <f>Table1[[#This Row],[Total Price]]-Table1[[#This Row],[Discount Amount]]</f>
        <v>173284.65</v>
      </c>
    </row>
    <row r="768" spans="1:15" x14ac:dyDescent="0.3">
      <c r="A768" t="s">
        <v>2334</v>
      </c>
      <c r="B768" s="1">
        <v>44948</v>
      </c>
      <c r="C768" t="s">
        <v>2335</v>
      </c>
      <c r="D768" t="s">
        <v>36</v>
      </c>
      <c r="E768">
        <v>1</v>
      </c>
      <c r="F768">
        <v>9345</v>
      </c>
      <c r="G768" s="9">
        <v>0.35</v>
      </c>
      <c r="H768" t="s">
        <v>13</v>
      </c>
      <c r="I768" t="s">
        <v>2336</v>
      </c>
      <c r="J768" s="13" t="s">
        <v>73</v>
      </c>
      <c r="K768">
        <v>3</v>
      </c>
      <c r="L768" t="s">
        <v>22</v>
      </c>
      <c r="M768">
        <f>Table1[[#This Row],[UnitPrice]]*Table1[[#This Row],[Quantity]]</f>
        <v>9345</v>
      </c>
      <c r="N768">
        <f>Table1[[#This Row],[Total Price]]*Table1[[#This Row],[Discount]]</f>
        <v>3270.75</v>
      </c>
      <c r="O768">
        <f>Table1[[#This Row],[Total Price]]-Table1[[#This Row],[Discount Amount]]</f>
        <v>6074.25</v>
      </c>
    </row>
    <row r="769" spans="1:15" x14ac:dyDescent="0.3">
      <c r="A769" t="s">
        <v>2337</v>
      </c>
      <c r="B769" s="1">
        <v>45765</v>
      </c>
      <c r="C769" t="s">
        <v>2338</v>
      </c>
      <c r="D769" t="s">
        <v>25</v>
      </c>
      <c r="E769">
        <v>3</v>
      </c>
      <c r="F769">
        <v>8044</v>
      </c>
      <c r="G769" s="9">
        <v>0.01</v>
      </c>
      <c r="H769" t="s">
        <v>26</v>
      </c>
      <c r="I769" t="s">
        <v>2339</v>
      </c>
      <c r="J769" s="14" t="s">
        <v>37</v>
      </c>
      <c r="K769">
        <v>7</v>
      </c>
      <c r="L769" t="s">
        <v>16</v>
      </c>
      <c r="M769">
        <f>Table1[[#This Row],[UnitPrice]]*Table1[[#This Row],[Quantity]]</f>
        <v>24132</v>
      </c>
      <c r="N769">
        <f>Table1[[#This Row],[Total Price]]*Table1[[#This Row],[Discount]]</f>
        <v>241.32</v>
      </c>
      <c r="O769">
        <f>Table1[[#This Row],[Total Price]]-Table1[[#This Row],[Discount Amount]]</f>
        <v>23890.68</v>
      </c>
    </row>
    <row r="770" spans="1:15" x14ac:dyDescent="0.3">
      <c r="A770" t="s">
        <v>2340</v>
      </c>
      <c r="B770" s="1">
        <v>45173</v>
      </c>
      <c r="C770" t="s">
        <v>2341</v>
      </c>
      <c r="D770" t="s">
        <v>25</v>
      </c>
      <c r="E770">
        <v>1</v>
      </c>
      <c r="F770">
        <v>3614</v>
      </c>
      <c r="G770" s="9">
        <v>0.09</v>
      </c>
      <c r="H770" t="s">
        <v>50</v>
      </c>
      <c r="I770" t="s">
        <v>2342</v>
      </c>
      <c r="J770" s="13" t="s">
        <v>14</v>
      </c>
      <c r="K770">
        <v>9</v>
      </c>
      <c r="L770" t="s">
        <v>28</v>
      </c>
      <c r="M770">
        <f>Table1[[#This Row],[UnitPrice]]*Table1[[#This Row],[Quantity]]</f>
        <v>3614</v>
      </c>
      <c r="N770">
        <f>Table1[[#This Row],[Total Price]]*Table1[[#This Row],[Discount]]</f>
        <v>325.26</v>
      </c>
      <c r="O770">
        <f>Table1[[#This Row],[Total Price]]-Table1[[#This Row],[Discount Amount]]</f>
        <v>3288.74</v>
      </c>
    </row>
    <row r="771" spans="1:15" x14ac:dyDescent="0.3">
      <c r="A771" t="s">
        <v>2343</v>
      </c>
      <c r="B771" s="1">
        <v>45113</v>
      </c>
      <c r="C771" t="s">
        <v>2344</v>
      </c>
      <c r="D771" t="s">
        <v>36</v>
      </c>
      <c r="E771">
        <v>3</v>
      </c>
      <c r="F771">
        <v>9584</v>
      </c>
      <c r="G771" s="9">
        <v>0.3</v>
      </c>
      <c r="H771" t="s">
        <v>50</v>
      </c>
      <c r="I771" t="s">
        <v>2345</v>
      </c>
      <c r="J771" s="14" t="s">
        <v>37</v>
      </c>
      <c r="K771">
        <v>5</v>
      </c>
      <c r="L771" t="s">
        <v>28</v>
      </c>
      <c r="M771">
        <f>Table1[[#This Row],[UnitPrice]]*Table1[[#This Row],[Quantity]]</f>
        <v>28752</v>
      </c>
      <c r="N771">
        <f>Table1[[#This Row],[Total Price]]*Table1[[#This Row],[Discount]]</f>
        <v>8625.6</v>
      </c>
      <c r="O771">
        <f>Table1[[#This Row],[Total Price]]-Table1[[#This Row],[Discount Amount]]</f>
        <v>20126.400000000001</v>
      </c>
    </row>
    <row r="772" spans="1:15" x14ac:dyDescent="0.3">
      <c r="A772" t="s">
        <v>2346</v>
      </c>
      <c r="B772" s="1">
        <v>45333</v>
      </c>
      <c r="C772" t="s">
        <v>2347</v>
      </c>
      <c r="D772" t="s">
        <v>58</v>
      </c>
      <c r="E772">
        <v>2</v>
      </c>
      <c r="F772">
        <v>9407</v>
      </c>
      <c r="G772" s="9">
        <v>0.04</v>
      </c>
      <c r="H772" t="s">
        <v>20</v>
      </c>
      <c r="I772" t="s">
        <v>2348</v>
      </c>
      <c r="J772" s="13" t="s">
        <v>73</v>
      </c>
      <c r="K772">
        <v>6</v>
      </c>
      <c r="L772" t="s">
        <v>60</v>
      </c>
      <c r="M772">
        <f>Table1[[#This Row],[UnitPrice]]*Table1[[#This Row],[Quantity]]</f>
        <v>18814</v>
      </c>
      <c r="N772">
        <f>Table1[[#This Row],[Total Price]]*Table1[[#This Row],[Discount]]</f>
        <v>752.56000000000006</v>
      </c>
      <c r="O772">
        <f>Table1[[#This Row],[Total Price]]-Table1[[#This Row],[Discount Amount]]</f>
        <v>18061.439999999999</v>
      </c>
    </row>
    <row r="773" spans="1:15" x14ac:dyDescent="0.3">
      <c r="A773" t="s">
        <v>2349</v>
      </c>
      <c r="B773" s="1">
        <v>45455</v>
      </c>
      <c r="C773" t="s">
        <v>2350</v>
      </c>
      <c r="D773" t="s">
        <v>19</v>
      </c>
      <c r="E773">
        <v>1</v>
      </c>
      <c r="F773">
        <v>21474</v>
      </c>
      <c r="G773" s="9">
        <v>0.5</v>
      </c>
      <c r="H773" t="s">
        <v>13</v>
      </c>
      <c r="I773" t="s">
        <v>2351</v>
      </c>
      <c r="J773" s="14" t="s">
        <v>14</v>
      </c>
      <c r="K773">
        <v>8</v>
      </c>
      <c r="L773" t="s">
        <v>60</v>
      </c>
      <c r="M773">
        <f>Table1[[#This Row],[UnitPrice]]*Table1[[#This Row],[Quantity]]</f>
        <v>21474</v>
      </c>
      <c r="N773">
        <f>Table1[[#This Row],[Total Price]]*Table1[[#This Row],[Discount]]</f>
        <v>10737</v>
      </c>
      <c r="O773">
        <f>Table1[[#This Row],[Total Price]]-Table1[[#This Row],[Discount Amount]]</f>
        <v>10737</v>
      </c>
    </row>
    <row r="774" spans="1:15" x14ac:dyDescent="0.3">
      <c r="A774" t="s">
        <v>2352</v>
      </c>
      <c r="B774" s="1">
        <v>45501</v>
      </c>
      <c r="C774" t="s">
        <v>2353</v>
      </c>
      <c r="D774" t="s">
        <v>12</v>
      </c>
      <c r="E774">
        <v>1</v>
      </c>
      <c r="F774">
        <v>3398</v>
      </c>
      <c r="G774" s="9">
        <v>0.39</v>
      </c>
      <c r="H774" t="s">
        <v>20</v>
      </c>
      <c r="I774" t="s">
        <v>2354</v>
      </c>
      <c r="J774" s="13" t="s">
        <v>37</v>
      </c>
      <c r="K774">
        <v>4</v>
      </c>
      <c r="L774" t="s">
        <v>16</v>
      </c>
      <c r="M774">
        <f>Table1[[#This Row],[UnitPrice]]*Table1[[#This Row],[Quantity]]</f>
        <v>3398</v>
      </c>
      <c r="N774">
        <f>Table1[[#This Row],[Total Price]]*Table1[[#This Row],[Discount]]</f>
        <v>1325.22</v>
      </c>
      <c r="O774">
        <f>Table1[[#This Row],[Total Price]]-Table1[[#This Row],[Discount Amount]]</f>
        <v>2072.7799999999997</v>
      </c>
    </row>
    <row r="775" spans="1:15" x14ac:dyDescent="0.3">
      <c r="A775" t="s">
        <v>2355</v>
      </c>
      <c r="B775" s="1">
        <v>45836</v>
      </c>
      <c r="C775" t="s">
        <v>2356</v>
      </c>
      <c r="D775" t="s">
        <v>19</v>
      </c>
      <c r="E775">
        <v>2</v>
      </c>
      <c r="F775">
        <v>23612</v>
      </c>
      <c r="G775" s="9">
        <v>0.35</v>
      </c>
      <c r="H775" t="s">
        <v>50</v>
      </c>
      <c r="I775" t="s">
        <v>2357</v>
      </c>
      <c r="J775" s="14" t="s">
        <v>37</v>
      </c>
      <c r="K775">
        <v>7</v>
      </c>
      <c r="L775" t="s">
        <v>33</v>
      </c>
      <c r="M775">
        <f>Table1[[#This Row],[UnitPrice]]*Table1[[#This Row],[Quantity]]</f>
        <v>47224</v>
      </c>
      <c r="N775">
        <f>Table1[[#This Row],[Total Price]]*Table1[[#This Row],[Discount]]</f>
        <v>16528.399999999998</v>
      </c>
      <c r="O775">
        <f>Table1[[#This Row],[Total Price]]-Table1[[#This Row],[Discount Amount]]</f>
        <v>30695.600000000002</v>
      </c>
    </row>
    <row r="776" spans="1:15" x14ac:dyDescent="0.3">
      <c r="A776" t="s">
        <v>2358</v>
      </c>
      <c r="B776" s="1">
        <v>45762</v>
      </c>
      <c r="C776" t="s">
        <v>2359</v>
      </c>
      <c r="D776" t="s">
        <v>31</v>
      </c>
      <c r="E776">
        <v>3</v>
      </c>
      <c r="F776">
        <v>25497</v>
      </c>
      <c r="G776" s="9">
        <v>0.13</v>
      </c>
      <c r="H776" t="s">
        <v>26</v>
      </c>
      <c r="I776" t="s">
        <v>2360</v>
      </c>
      <c r="J776" s="13" t="s">
        <v>37</v>
      </c>
      <c r="K776">
        <v>3</v>
      </c>
      <c r="L776" t="s">
        <v>16</v>
      </c>
      <c r="M776">
        <f>Table1[[#This Row],[UnitPrice]]*Table1[[#This Row],[Quantity]]</f>
        <v>76491</v>
      </c>
      <c r="N776">
        <f>Table1[[#This Row],[Total Price]]*Table1[[#This Row],[Discount]]</f>
        <v>9943.83</v>
      </c>
      <c r="O776">
        <f>Table1[[#This Row],[Total Price]]-Table1[[#This Row],[Discount Amount]]</f>
        <v>66547.17</v>
      </c>
    </row>
    <row r="777" spans="1:15" x14ac:dyDescent="0.3">
      <c r="A777" t="s">
        <v>2361</v>
      </c>
      <c r="B777" s="1">
        <v>44989</v>
      </c>
      <c r="C777" t="s">
        <v>2362</v>
      </c>
      <c r="D777" t="s">
        <v>19</v>
      </c>
      <c r="E777">
        <v>3</v>
      </c>
      <c r="F777">
        <v>48796</v>
      </c>
      <c r="G777" s="9">
        <v>0.02</v>
      </c>
      <c r="H777" t="s">
        <v>20</v>
      </c>
      <c r="I777" t="s">
        <v>2363</v>
      </c>
      <c r="J777" s="14" t="s">
        <v>14</v>
      </c>
      <c r="K777">
        <v>5</v>
      </c>
      <c r="L777" t="s">
        <v>60</v>
      </c>
      <c r="M777">
        <f>Table1[[#This Row],[UnitPrice]]*Table1[[#This Row],[Quantity]]</f>
        <v>146388</v>
      </c>
      <c r="N777">
        <f>Table1[[#This Row],[Total Price]]*Table1[[#This Row],[Discount]]</f>
        <v>2927.76</v>
      </c>
      <c r="O777">
        <f>Table1[[#This Row],[Total Price]]-Table1[[#This Row],[Discount Amount]]</f>
        <v>143460.24</v>
      </c>
    </row>
    <row r="778" spans="1:15" x14ac:dyDescent="0.3">
      <c r="A778" t="s">
        <v>2364</v>
      </c>
      <c r="B778" s="1">
        <v>45159</v>
      </c>
      <c r="C778" t="s">
        <v>2365</v>
      </c>
      <c r="D778" t="s">
        <v>25</v>
      </c>
      <c r="E778">
        <v>1</v>
      </c>
      <c r="F778">
        <v>16336</v>
      </c>
      <c r="G778" s="9">
        <v>0.49</v>
      </c>
      <c r="H778" t="s">
        <v>50</v>
      </c>
      <c r="I778" t="s">
        <v>2366</v>
      </c>
      <c r="J778" s="13" t="s">
        <v>73</v>
      </c>
      <c r="K778">
        <v>5</v>
      </c>
      <c r="L778" t="s">
        <v>60</v>
      </c>
      <c r="M778">
        <f>Table1[[#This Row],[UnitPrice]]*Table1[[#This Row],[Quantity]]</f>
        <v>16336</v>
      </c>
      <c r="N778">
        <f>Table1[[#This Row],[Total Price]]*Table1[[#This Row],[Discount]]</f>
        <v>8004.6399999999994</v>
      </c>
      <c r="O778">
        <f>Table1[[#This Row],[Total Price]]-Table1[[#This Row],[Discount Amount]]</f>
        <v>8331.36</v>
      </c>
    </row>
    <row r="779" spans="1:15" x14ac:dyDescent="0.3">
      <c r="A779" t="s">
        <v>2367</v>
      </c>
      <c r="B779" s="1">
        <v>45737</v>
      </c>
      <c r="C779" t="s">
        <v>2368</v>
      </c>
      <c r="D779" t="s">
        <v>31</v>
      </c>
      <c r="E779">
        <v>3</v>
      </c>
      <c r="F779">
        <v>49463</v>
      </c>
      <c r="G779" s="9">
        <v>7.0000000000000007E-2</v>
      </c>
      <c r="H779" t="s">
        <v>20</v>
      </c>
      <c r="I779" t="s">
        <v>2369</v>
      </c>
      <c r="J779" s="14" t="s">
        <v>73</v>
      </c>
      <c r="K779">
        <v>7</v>
      </c>
      <c r="L779" t="s">
        <v>33</v>
      </c>
      <c r="M779">
        <f>Table1[[#This Row],[UnitPrice]]*Table1[[#This Row],[Quantity]]</f>
        <v>148389</v>
      </c>
      <c r="N779">
        <f>Table1[[#This Row],[Total Price]]*Table1[[#This Row],[Discount]]</f>
        <v>10387.230000000001</v>
      </c>
      <c r="O779">
        <f>Table1[[#This Row],[Total Price]]-Table1[[#This Row],[Discount Amount]]</f>
        <v>138001.76999999999</v>
      </c>
    </row>
    <row r="780" spans="1:15" x14ac:dyDescent="0.3">
      <c r="A780" t="s">
        <v>2370</v>
      </c>
      <c r="B780" s="1">
        <v>45044</v>
      </c>
      <c r="C780" t="s">
        <v>2371</v>
      </c>
      <c r="D780" t="s">
        <v>44</v>
      </c>
      <c r="E780">
        <v>2</v>
      </c>
      <c r="F780">
        <v>59248</v>
      </c>
      <c r="G780" s="9">
        <v>0.42</v>
      </c>
      <c r="H780" t="s">
        <v>26</v>
      </c>
      <c r="I780" t="s">
        <v>2372</v>
      </c>
      <c r="J780" s="13" t="s">
        <v>14</v>
      </c>
      <c r="K780">
        <v>8</v>
      </c>
      <c r="L780" t="s">
        <v>60</v>
      </c>
      <c r="M780">
        <f>Table1[[#This Row],[UnitPrice]]*Table1[[#This Row],[Quantity]]</f>
        <v>118496</v>
      </c>
      <c r="N780">
        <f>Table1[[#This Row],[Total Price]]*Table1[[#This Row],[Discount]]</f>
        <v>49768.32</v>
      </c>
      <c r="O780">
        <f>Table1[[#This Row],[Total Price]]-Table1[[#This Row],[Discount Amount]]</f>
        <v>68727.679999999993</v>
      </c>
    </row>
    <row r="781" spans="1:15" x14ac:dyDescent="0.3">
      <c r="A781" t="s">
        <v>2373</v>
      </c>
      <c r="B781" s="1">
        <v>45261</v>
      </c>
      <c r="C781" t="s">
        <v>2374</v>
      </c>
      <c r="D781" t="s">
        <v>19</v>
      </c>
      <c r="E781">
        <v>1</v>
      </c>
      <c r="F781">
        <v>23092</v>
      </c>
      <c r="G781" s="9">
        <v>0.1</v>
      </c>
      <c r="H781" t="s">
        <v>13</v>
      </c>
      <c r="I781" t="s">
        <v>2375</v>
      </c>
      <c r="J781" s="14" t="s">
        <v>73</v>
      </c>
      <c r="K781">
        <v>8</v>
      </c>
      <c r="L781" t="s">
        <v>28</v>
      </c>
      <c r="M781">
        <f>Table1[[#This Row],[UnitPrice]]*Table1[[#This Row],[Quantity]]</f>
        <v>23092</v>
      </c>
      <c r="N781">
        <f>Table1[[#This Row],[Total Price]]*Table1[[#This Row],[Discount]]</f>
        <v>2309.2000000000003</v>
      </c>
      <c r="O781">
        <f>Table1[[#This Row],[Total Price]]-Table1[[#This Row],[Discount Amount]]</f>
        <v>20782.8</v>
      </c>
    </row>
    <row r="782" spans="1:15" x14ac:dyDescent="0.3">
      <c r="A782" t="s">
        <v>2376</v>
      </c>
      <c r="B782" s="1">
        <v>45382</v>
      </c>
      <c r="C782" t="s">
        <v>2377</v>
      </c>
      <c r="D782" t="s">
        <v>44</v>
      </c>
      <c r="E782">
        <v>1</v>
      </c>
      <c r="F782">
        <v>29479</v>
      </c>
      <c r="G782" s="9">
        <v>0.19</v>
      </c>
      <c r="H782" t="s">
        <v>20</v>
      </c>
      <c r="I782" t="s">
        <v>2378</v>
      </c>
      <c r="J782" s="13" t="s">
        <v>73</v>
      </c>
      <c r="K782">
        <v>4</v>
      </c>
      <c r="L782" t="s">
        <v>60</v>
      </c>
      <c r="M782">
        <f>Table1[[#This Row],[UnitPrice]]*Table1[[#This Row],[Quantity]]</f>
        <v>29479</v>
      </c>
      <c r="N782">
        <f>Table1[[#This Row],[Total Price]]*Table1[[#This Row],[Discount]]</f>
        <v>5601.01</v>
      </c>
      <c r="O782">
        <f>Table1[[#This Row],[Total Price]]-Table1[[#This Row],[Discount Amount]]</f>
        <v>23877.989999999998</v>
      </c>
    </row>
    <row r="783" spans="1:15" x14ac:dyDescent="0.3">
      <c r="A783" t="s">
        <v>2379</v>
      </c>
      <c r="B783" s="1">
        <v>45301</v>
      </c>
      <c r="C783" t="s">
        <v>2380</v>
      </c>
      <c r="D783" t="s">
        <v>19</v>
      </c>
      <c r="E783">
        <v>1</v>
      </c>
      <c r="F783">
        <v>27129</v>
      </c>
      <c r="G783" s="9">
        <v>0.35</v>
      </c>
      <c r="H783" t="s">
        <v>45</v>
      </c>
      <c r="I783" t="s">
        <v>2381</v>
      </c>
      <c r="J783" s="14" t="s">
        <v>37</v>
      </c>
      <c r="K783">
        <v>5</v>
      </c>
      <c r="L783" t="s">
        <v>22</v>
      </c>
      <c r="M783">
        <f>Table1[[#This Row],[UnitPrice]]*Table1[[#This Row],[Quantity]]</f>
        <v>27129</v>
      </c>
      <c r="N783">
        <f>Table1[[#This Row],[Total Price]]*Table1[[#This Row],[Discount]]</f>
        <v>9495.15</v>
      </c>
      <c r="O783">
        <f>Table1[[#This Row],[Total Price]]-Table1[[#This Row],[Discount Amount]]</f>
        <v>17633.849999999999</v>
      </c>
    </row>
    <row r="784" spans="1:15" x14ac:dyDescent="0.3">
      <c r="A784" t="s">
        <v>2382</v>
      </c>
      <c r="B784" s="1">
        <v>45515</v>
      </c>
      <c r="C784" t="s">
        <v>2383</v>
      </c>
      <c r="D784" t="s">
        <v>12</v>
      </c>
      <c r="E784">
        <v>1</v>
      </c>
      <c r="F784">
        <v>7296</v>
      </c>
      <c r="G784" s="9">
        <v>0.47</v>
      </c>
      <c r="H784" t="s">
        <v>20</v>
      </c>
      <c r="I784" t="s">
        <v>2384</v>
      </c>
      <c r="J784" s="13" t="s">
        <v>37</v>
      </c>
      <c r="K784">
        <v>6</v>
      </c>
      <c r="L784" t="s">
        <v>22</v>
      </c>
      <c r="M784">
        <f>Table1[[#This Row],[UnitPrice]]*Table1[[#This Row],[Quantity]]</f>
        <v>7296</v>
      </c>
      <c r="N784">
        <f>Table1[[#This Row],[Total Price]]*Table1[[#This Row],[Discount]]</f>
        <v>3429.12</v>
      </c>
      <c r="O784">
        <f>Table1[[#This Row],[Total Price]]-Table1[[#This Row],[Discount Amount]]</f>
        <v>3866.88</v>
      </c>
    </row>
    <row r="785" spans="1:15" x14ac:dyDescent="0.3">
      <c r="A785" t="s">
        <v>2385</v>
      </c>
      <c r="B785" s="1">
        <v>45803</v>
      </c>
      <c r="C785" t="s">
        <v>2386</v>
      </c>
      <c r="D785" t="s">
        <v>36</v>
      </c>
      <c r="E785">
        <v>1</v>
      </c>
      <c r="F785">
        <v>8837</v>
      </c>
      <c r="G785" s="9">
        <v>0.01</v>
      </c>
      <c r="H785" t="s">
        <v>45</v>
      </c>
      <c r="I785" t="s">
        <v>2387</v>
      </c>
      <c r="J785" s="14" t="s">
        <v>37</v>
      </c>
      <c r="K785">
        <v>5</v>
      </c>
      <c r="L785" t="s">
        <v>33</v>
      </c>
      <c r="M785">
        <f>Table1[[#This Row],[UnitPrice]]*Table1[[#This Row],[Quantity]]</f>
        <v>8837</v>
      </c>
      <c r="N785">
        <f>Table1[[#This Row],[Total Price]]*Table1[[#This Row],[Discount]]</f>
        <v>88.37</v>
      </c>
      <c r="O785">
        <f>Table1[[#This Row],[Total Price]]-Table1[[#This Row],[Discount Amount]]</f>
        <v>8748.6299999999992</v>
      </c>
    </row>
    <row r="786" spans="1:15" x14ac:dyDescent="0.3">
      <c r="A786" t="s">
        <v>2388</v>
      </c>
      <c r="B786" s="1">
        <v>45793</v>
      </c>
      <c r="C786" t="s">
        <v>2389</v>
      </c>
      <c r="D786" t="s">
        <v>44</v>
      </c>
      <c r="E786">
        <v>1</v>
      </c>
      <c r="F786">
        <v>76736</v>
      </c>
      <c r="G786" s="9">
        <v>0.13</v>
      </c>
      <c r="H786" t="s">
        <v>26</v>
      </c>
      <c r="I786" t="s">
        <v>2390</v>
      </c>
      <c r="J786" s="13" t="s">
        <v>73</v>
      </c>
      <c r="K786">
        <v>1</v>
      </c>
      <c r="L786" t="s">
        <v>22</v>
      </c>
      <c r="M786">
        <f>Table1[[#This Row],[UnitPrice]]*Table1[[#This Row],[Quantity]]</f>
        <v>76736</v>
      </c>
      <c r="N786">
        <f>Table1[[#This Row],[Total Price]]*Table1[[#This Row],[Discount]]</f>
        <v>9975.68</v>
      </c>
      <c r="O786">
        <f>Table1[[#This Row],[Total Price]]-Table1[[#This Row],[Discount Amount]]</f>
        <v>66760.320000000007</v>
      </c>
    </row>
    <row r="787" spans="1:15" x14ac:dyDescent="0.3">
      <c r="A787" t="s">
        <v>2391</v>
      </c>
      <c r="B787" s="1">
        <v>45136</v>
      </c>
      <c r="C787" t="s">
        <v>2392</v>
      </c>
      <c r="D787" t="s">
        <v>31</v>
      </c>
      <c r="E787">
        <v>3</v>
      </c>
      <c r="F787">
        <v>15567</v>
      </c>
      <c r="G787" s="9">
        <v>0.38</v>
      </c>
      <c r="H787" t="s">
        <v>26</v>
      </c>
      <c r="I787" t="s">
        <v>2393</v>
      </c>
      <c r="J787" s="14" t="s">
        <v>73</v>
      </c>
      <c r="K787">
        <v>1</v>
      </c>
      <c r="L787" t="s">
        <v>16</v>
      </c>
      <c r="M787">
        <f>Table1[[#This Row],[UnitPrice]]*Table1[[#This Row],[Quantity]]</f>
        <v>46701</v>
      </c>
      <c r="N787">
        <f>Table1[[#This Row],[Total Price]]*Table1[[#This Row],[Discount]]</f>
        <v>17746.38</v>
      </c>
      <c r="O787">
        <f>Table1[[#This Row],[Total Price]]-Table1[[#This Row],[Discount Amount]]</f>
        <v>28954.62</v>
      </c>
    </row>
    <row r="788" spans="1:15" x14ac:dyDescent="0.3">
      <c r="A788" t="s">
        <v>2394</v>
      </c>
      <c r="B788" s="1">
        <v>45161</v>
      </c>
      <c r="C788" t="s">
        <v>2395</v>
      </c>
      <c r="D788" t="s">
        <v>31</v>
      </c>
      <c r="E788">
        <v>3</v>
      </c>
      <c r="F788">
        <v>44160</v>
      </c>
      <c r="G788" s="9">
        <v>0.09</v>
      </c>
      <c r="H788" t="s">
        <v>20</v>
      </c>
      <c r="I788" t="s">
        <v>2396</v>
      </c>
      <c r="J788" s="13" t="s">
        <v>37</v>
      </c>
      <c r="K788">
        <v>8</v>
      </c>
      <c r="L788" t="s">
        <v>22</v>
      </c>
      <c r="M788">
        <f>Table1[[#This Row],[UnitPrice]]*Table1[[#This Row],[Quantity]]</f>
        <v>132480</v>
      </c>
      <c r="N788">
        <f>Table1[[#This Row],[Total Price]]*Table1[[#This Row],[Discount]]</f>
        <v>11923.199999999999</v>
      </c>
      <c r="O788">
        <f>Table1[[#This Row],[Total Price]]-Table1[[#This Row],[Discount Amount]]</f>
        <v>120556.8</v>
      </c>
    </row>
    <row r="789" spans="1:15" x14ac:dyDescent="0.3">
      <c r="A789" t="s">
        <v>2397</v>
      </c>
      <c r="B789" s="1">
        <v>45368</v>
      </c>
      <c r="C789" t="s">
        <v>2398</v>
      </c>
      <c r="D789" t="s">
        <v>58</v>
      </c>
      <c r="E789">
        <v>3</v>
      </c>
      <c r="F789">
        <v>6717</v>
      </c>
      <c r="G789" s="9">
        <v>0.06</v>
      </c>
      <c r="H789" t="s">
        <v>50</v>
      </c>
      <c r="I789" t="s">
        <v>2399</v>
      </c>
      <c r="J789" s="14" t="s">
        <v>37</v>
      </c>
      <c r="K789">
        <v>7</v>
      </c>
      <c r="L789" t="s">
        <v>60</v>
      </c>
      <c r="M789">
        <f>Table1[[#This Row],[UnitPrice]]*Table1[[#This Row],[Quantity]]</f>
        <v>20151</v>
      </c>
      <c r="N789">
        <f>Table1[[#This Row],[Total Price]]*Table1[[#This Row],[Discount]]</f>
        <v>1209.06</v>
      </c>
      <c r="O789">
        <f>Table1[[#This Row],[Total Price]]-Table1[[#This Row],[Discount Amount]]</f>
        <v>18941.939999999999</v>
      </c>
    </row>
    <row r="790" spans="1:15" x14ac:dyDescent="0.3">
      <c r="A790" t="s">
        <v>2400</v>
      </c>
      <c r="B790" s="1">
        <v>45232</v>
      </c>
      <c r="C790" t="s">
        <v>2401</v>
      </c>
      <c r="D790" t="s">
        <v>31</v>
      </c>
      <c r="E790">
        <v>2</v>
      </c>
      <c r="F790">
        <v>31428</v>
      </c>
      <c r="G790" s="9">
        <v>0.02</v>
      </c>
      <c r="H790" t="s">
        <v>20</v>
      </c>
      <c r="I790" t="s">
        <v>2402</v>
      </c>
      <c r="J790" s="13" t="s">
        <v>73</v>
      </c>
      <c r="K790">
        <v>5</v>
      </c>
      <c r="L790" t="s">
        <v>16</v>
      </c>
      <c r="M790">
        <f>Table1[[#This Row],[UnitPrice]]*Table1[[#This Row],[Quantity]]</f>
        <v>62856</v>
      </c>
      <c r="N790">
        <f>Table1[[#This Row],[Total Price]]*Table1[[#This Row],[Discount]]</f>
        <v>1257.1200000000001</v>
      </c>
      <c r="O790">
        <f>Table1[[#This Row],[Total Price]]-Table1[[#This Row],[Discount Amount]]</f>
        <v>61598.879999999997</v>
      </c>
    </row>
    <row r="791" spans="1:15" x14ac:dyDescent="0.3">
      <c r="A791" t="s">
        <v>2403</v>
      </c>
      <c r="B791" s="1">
        <v>45155</v>
      </c>
      <c r="C791" t="s">
        <v>2404</v>
      </c>
      <c r="D791" t="s">
        <v>25</v>
      </c>
      <c r="E791">
        <v>1</v>
      </c>
      <c r="F791">
        <v>18304</v>
      </c>
      <c r="G791" s="9">
        <v>0.25</v>
      </c>
      <c r="H791" t="s">
        <v>20</v>
      </c>
      <c r="I791" t="s">
        <v>2405</v>
      </c>
      <c r="J791" s="14" t="s">
        <v>37</v>
      </c>
      <c r="K791">
        <v>10</v>
      </c>
      <c r="L791" t="s">
        <v>28</v>
      </c>
      <c r="M791">
        <f>Table1[[#This Row],[UnitPrice]]*Table1[[#This Row],[Quantity]]</f>
        <v>18304</v>
      </c>
      <c r="N791">
        <f>Table1[[#This Row],[Total Price]]*Table1[[#This Row],[Discount]]</f>
        <v>4576</v>
      </c>
      <c r="O791">
        <f>Table1[[#This Row],[Total Price]]-Table1[[#This Row],[Discount Amount]]</f>
        <v>13728</v>
      </c>
    </row>
    <row r="792" spans="1:15" x14ac:dyDescent="0.3">
      <c r="A792" t="s">
        <v>2406</v>
      </c>
      <c r="B792" s="1">
        <v>45549</v>
      </c>
      <c r="C792" t="s">
        <v>2407</v>
      </c>
      <c r="D792" t="s">
        <v>44</v>
      </c>
      <c r="E792">
        <v>1</v>
      </c>
      <c r="F792">
        <v>66828</v>
      </c>
      <c r="G792" s="9">
        <v>0.38</v>
      </c>
      <c r="H792" t="s">
        <v>45</v>
      </c>
      <c r="I792" t="s">
        <v>2408</v>
      </c>
      <c r="J792" s="13" t="s">
        <v>73</v>
      </c>
      <c r="K792">
        <v>4</v>
      </c>
      <c r="L792" t="s">
        <v>60</v>
      </c>
      <c r="M792">
        <f>Table1[[#This Row],[UnitPrice]]*Table1[[#This Row],[Quantity]]</f>
        <v>66828</v>
      </c>
      <c r="N792">
        <f>Table1[[#This Row],[Total Price]]*Table1[[#This Row],[Discount]]</f>
        <v>25394.639999999999</v>
      </c>
      <c r="O792">
        <f>Table1[[#This Row],[Total Price]]-Table1[[#This Row],[Discount Amount]]</f>
        <v>41433.360000000001</v>
      </c>
    </row>
    <row r="793" spans="1:15" x14ac:dyDescent="0.3">
      <c r="A793" t="s">
        <v>2409</v>
      </c>
      <c r="B793" s="1">
        <v>45304</v>
      </c>
      <c r="C793" t="s">
        <v>2410</v>
      </c>
      <c r="D793" t="s">
        <v>31</v>
      </c>
      <c r="E793">
        <v>1</v>
      </c>
      <c r="F793">
        <v>46904</v>
      </c>
      <c r="G793" s="9">
        <v>0.48</v>
      </c>
      <c r="H793" t="s">
        <v>50</v>
      </c>
      <c r="I793" t="s">
        <v>2411</v>
      </c>
      <c r="J793" s="14" t="s">
        <v>73</v>
      </c>
      <c r="K793">
        <v>8</v>
      </c>
      <c r="L793" t="s">
        <v>28</v>
      </c>
      <c r="M793">
        <f>Table1[[#This Row],[UnitPrice]]*Table1[[#This Row],[Quantity]]</f>
        <v>46904</v>
      </c>
      <c r="N793">
        <f>Table1[[#This Row],[Total Price]]*Table1[[#This Row],[Discount]]</f>
        <v>22513.919999999998</v>
      </c>
      <c r="O793">
        <f>Table1[[#This Row],[Total Price]]-Table1[[#This Row],[Discount Amount]]</f>
        <v>24390.080000000002</v>
      </c>
    </row>
    <row r="794" spans="1:15" x14ac:dyDescent="0.3">
      <c r="A794" t="s">
        <v>2412</v>
      </c>
      <c r="B794" s="1">
        <v>45093</v>
      </c>
      <c r="C794" t="s">
        <v>2413</v>
      </c>
      <c r="D794" t="s">
        <v>58</v>
      </c>
      <c r="E794">
        <v>1</v>
      </c>
      <c r="F794">
        <v>8895</v>
      </c>
      <c r="G794" s="9">
        <v>0.13</v>
      </c>
      <c r="H794" t="s">
        <v>13</v>
      </c>
      <c r="I794" t="s">
        <v>2414</v>
      </c>
      <c r="J794" s="13" t="s">
        <v>37</v>
      </c>
      <c r="K794">
        <v>6</v>
      </c>
      <c r="L794" t="s">
        <v>33</v>
      </c>
      <c r="M794">
        <f>Table1[[#This Row],[UnitPrice]]*Table1[[#This Row],[Quantity]]</f>
        <v>8895</v>
      </c>
      <c r="N794">
        <f>Table1[[#This Row],[Total Price]]*Table1[[#This Row],[Discount]]</f>
        <v>1156.3500000000001</v>
      </c>
      <c r="O794">
        <f>Table1[[#This Row],[Total Price]]-Table1[[#This Row],[Discount Amount]]</f>
        <v>7738.65</v>
      </c>
    </row>
    <row r="795" spans="1:15" x14ac:dyDescent="0.3">
      <c r="A795" t="s">
        <v>2415</v>
      </c>
      <c r="B795" s="1">
        <v>45397</v>
      </c>
      <c r="C795" t="s">
        <v>2416</v>
      </c>
      <c r="D795" t="s">
        <v>31</v>
      </c>
      <c r="E795">
        <v>2</v>
      </c>
      <c r="F795">
        <v>17250</v>
      </c>
      <c r="G795" s="9">
        <v>0.06</v>
      </c>
      <c r="H795" t="s">
        <v>13</v>
      </c>
      <c r="I795" t="s">
        <v>2417</v>
      </c>
      <c r="J795" s="14" t="s">
        <v>37</v>
      </c>
      <c r="K795">
        <v>8</v>
      </c>
      <c r="L795" t="s">
        <v>22</v>
      </c>
      <c r="M795">
        <f>Table1[[#This Row],[UnitPrice]]*Table1[[#This Row],[Quantity]]</f>
        <v>34500</v>
      </c>
      <c r="N795">
        <f>Table1[[#This Row],[Total Price]]*Table1[[#This Row],[Discount]]</f>
        <v>2070</v>
      </c>
      <c r="O795">
        <f>Table1[[#This Row],[Total Price]]-Table1[[#This Row],[Discount Amount]]</f>
        <v>32430</v>
      </c>
    </row>
    <row r="796" spans="1:15" x14ac:dyDescent="0.3">
      <c r="A796" t="s">
        <v>2418</v>
      </c>
      <c r="B796" s="1">
        <v>44994</v>
      </c>
      <c r="C796" t="s">
        <v>2419</v>
      </c>
      <c r="D796" t="s">
        <v>36</v>
      </c>
      <c r="E796">
        <v>3</v>
      </c>
      <c r="F796">
        <v>6534</v>
      </c>
      <c r="G796" s="9">
        <v>0.2</v>
      </c>
      <c r="H796" t="s">
        <v>20</v>
      </c>
      <c r="I796" t="s">
        <v>2420</v>
      </c>
      <c r="J796" s="13" t="s">
        <v>37</v>
      </c>
      <c r="K796">
        <v>9</v>
      </c>
      <c r="L796" t="s">
        <v>16</v>
      </c>
      <c r="M796">
        <f>Table1[[#This Row],[UnitPrice]]*Table1[[#This Row],[Quantity]]</f>
        <v>19602</v>
      </c>
      <c r="N796">
        <f>Table1[[#This Row],[Total Price]]*Table1[[#This Row],[Discount]]</f>
        <v>3920.4</v>
      </c>
      <c r="O796">
        <f>Table1[[#This Row],[Total Price]]-Table1[[#This Row],[Discount Amount]]</f>
        <v>15681.6</v>
      </c>
    </row>
    <row r="797" spans="1:15" x14ac:dyDescent="0.3">
      <c r="A797" t="s">
        <v>2421</v>
      </c>
      <c r="B797" s="1">
        <v>45616</v>
      </c>
      <c r="C797" t="s">
        <v>2422</v>
      </c>
      <c r="D797" t="s">
        <v>44</v>
      </c>
      <c r="E797">
        <v>2</v>
      </c>
      <c r="F797">
        <v>21665</v>
      </c>
      <c r="G797" s="9">
        <v>0.03</v>
      </c>
      <c r="H797" t="s">
        <v>20</v>
      </c>
      <c r="I797" t="s">
        <v>2423</v>
      </c>
      <c r="J797" s="14" t="s">
        <v>73</v>
      </c>
      <c r="K797">
        <v>7</v>
      </c>
      <c r="L797" t="s">
        <v>16</v>
      </c>
      <c r="M797">
        <f>Table1[[#This Row],[UnitPrice]]*Table1[[#This Row],[Quantity]]</f>
        <v>43330</v>
      </c>
      <c r="N797">
        <f>Table1[[#This Row],[Total Price]]*Table1[[#This Row],[Discount]]</f>
        <v>1299.8999999999999</v>
      </c>
      <c r="O797">
        <f>Table1[[#This Row],[Total Price]]-Table1[[#This Row],[Discount Amount]]</f>
        <v>42030.1</v>
      </c>
    </row>
    <row r="798" spans="1:15" x14ac:dyDescent="0.3">
      <c r="A798" t="s">
        <v>2424</v>
      </c>
      <c r="B798" s="1">
        <v>45776</v>
      </c>
      <c r="C798" t="s">
        <v>2425</v>
      </c>
      <c r="D798" t="s">
        <v>19</v>
      </c>
      <c r="E798">
        <v>3</v>
      </c>
      <c r="F798">
        <v>29911</v>
      </c>
      <c r="G798" s="9">
        <v>0.17</v>
      </c>
      <c r="H798" t="s">
        <v>45</v>
      </c>
      <c r="I798" t="s">
        <v>2426</v>
      </c>
      <c r="J798" s="13" t="s">
        <v>14</v>
      </c>
      <c r="K798">
        <v>8</v>
      </c>
      <c r="L798" t="s">
        <v>33</v>
      </c>
      <c r="M798">
        <f>Table1[[#This Row],[UnitPrice]]*Table1[[#This Row],[Quantity]]</f>
        <v>89733</v>
      </c>
      <c r="N798">
        <f>Table1[[#This Row],[Total Price]]*Table1[[#This Row],[Discount]]</f>
        <v>15254.61</v>
      </c>
      <c r="O798">
        <f>Table1[[#This Row],[Total Price]]-Table1[[#This Row],[Discount Amount]]</f>
        <v>74478.39</v>
      </c>
    </row>
    <row r="799" spans="1:15" x14ac:dyDescent="0.3">
      <c r="A799" t="s">
        <v>2427</v>
      </c>
      <c r="B799" s="1">
        <v>44984</v>
      </c>
      <c r="C799" t="s">
        <v>2428</v>
      </c>
      <c r="D799" t="s">
        <v>44</v>
      </c>
      <c r="E799">
        <v>1</v>
      </c>
      <c r="F799">
        <v>31718</v>
      </c>
      <c r="G799" s="9">
        <v>0.32</v>
      </c>
      <c r="H799" t="s">
        <v>13</v>
      </c>
      <c r="I799" t="s">
        <v>2429</v>
      </c>
      <c r="J799" s="14" t="s">
        <v>37</v>
      </c>
      <c r="K799">
        <v>2</v>
      </c>
      <c r="L799" t="s">
        <v>33</v>
      </c>
      <c r="M799">
        <f>Table1[[#This Row],[UnitPrice]]*Table1[[#This Row],[Quantity]]</f>
        <v>31718</v>
      </c>
      <c r="N799">
        <f>Table1[[#This Row],[Total Price]]*Table1[[#This Row],[Discount]]</f>
        <v>10149.76</v>
      </c>
      <c r="O799">
        <f>Table1[[#This Row],[Total Price]]-Table1[[#This Row],[Discount Amount]]</f>
        <v>21568.239999999998</v>
      </c>
    </row>
    <row r="800" spans="1:15" x14ac:dyDescent="0.3">
      <c r="A800" t="s">
        <v>2430</v>
      </c>
      <c r="B800" s="1">
        <v>45796</v>
      </c>
      <c r="C800" t="s">
        <v>2431</v>
      </c>
      <c r="D800" t="s">
        <v>19</v>
      </c>
      <c r="E800">
        <v>1</v>
      </c>
      <c r="F800">
        <v>37285</v>
      </c>
      <c r="G800" s="9">
        <v>0.08</v>
      </c>
      <c r="H800" t="s">
        <v>13</v>
      </c>
      <c r="I800" t="s">
        <v>2432</v>
      </c>
      <c r="J800" s="13" t="s">
        <v>14</v>
      </c>
      <c r="K800">
        <v>9</v>
      </c>
      <c r="L800" t="s">
        <v>28</v>
      </c>
      <c r="M800">
        <f>Table1[[#This Row],[UnitPrice]]*Table1[[#This Row],[Quantity]]</f>
        <v>37285</v>
      </c>
      <c r="N800">
        <f>Table1[[#This Row],[Total Price]]*Table1[[#This Row],[Discount]]</f>
        <v>2982.8</v>
      </c>
      <c r="O800">
        <f>Table1[[#This Row],[Total Price]]-Table1[[#This Row],[Discount Amount]]</f>
        <v>34302.199999999997</v>
      </c>
    </row>
    <row r="801" spans="1:15" x14ac:dyDescent="0.3">
      <c r="A801" t="s">
        <v>2433</v>
      </c>
      <c r="B801" s="1">
        <v>45032</v>
      </c>
      <c r="C801" t="s">
        <v>2434</v>
      </c>
      <c r="D801" t="s">
        <v>44</v>
      </c>
      <c r="E801">
        <v>2</v>
      </c>
      <c r="F801">
        <v>34256</v>
      </c>
      <c r="G801" s="9">
        <v>0.32</v>
      </c>
      <c r="H801" t="s">
        <v>13</v>
      </c>
      <c r="I801" t="s">
        <v>2435</v>
      </c>
      <c r="J801" s="14" t="s">
        <v>73</v>
      </c>
      <c r="K801">
        <v>4</v>
      </c>
      <c r="L801" t="s">
        <v>28</v>
      </c>
      <c r="M801">
        <f>Table1[[#This Row],[UnitPrice]]*Table1[[#This Row],[Quantity]]</f>
        <v>68512</v>
      </c>
      <c r="N801">
        <f>Table1[[#This Row],[Total Price]]*Table1[[#This Row],[Discount]]</f>
        <v>21923.84</v>
      </c>
      <c r="O801">
        <f>Table1[[#This Row],[Total Price]]-Table1[[#This Row],[Discount Amount]]</f>
        <v>46588.160000000003</v>
      </c>
    </row>
    <row r="802" spans="1:15" x14ac:dyDescent="0.3">
      <c r="A802" t="s">
        <v>2436</v>
      </c>
      <c r="B802" s="1">
        <v>45744</v>
      </c>
      <c r="C802" t="s">
        <v>2437</v>
      </c>
      <c r="D802" t="s">
        <v>25</v>
      </c>
      <c r="E802">
        <v>3</v>
      </c>
      <c r="F802">
        <v>3914</v>
      </c>
      <c r="G802" s="9">
        <v>0.49</v>
      </c>
      <c r="H802" t="s">
        <v>20</v>
      </c>
      <c r="I802" t="s">
        <v>2438</v>
      </c>
      <c r="J802" s="13" t="s">
        <v>14</v>
      </c>
      <c r="K802">
        <v>3</v>
      </c>
      <c r="L802" t="s">
        <v>33</v>
      </c>
      <c r="M802">
        <f>Table1[[#This Row],[UnitPrice]]*Table1[[#This Row],[Quantity]]</f>
        <v>11742</v>
      </c>
      <c r="N802">
        <f>Table1[[#This Row],[Total Price]]*Table1[[#This Row],[Discount]]</f>
        <v>5753.58</v>
      </c>
      <c r="O802">
        <f>Table1[[#This Row],[Total Price]]-Table1[[#This Row],[Discount Amount]]</f>
        <v>5988.42</v>
      </c>
    </row>
    <row r="803" spans="1:15" x14ac:dyDescent="0.3">
      <c r="A803" t="s">
        <v>2439</v>
      </c>
      <c r="B803" s="1">
        <v>45049</v>
      </c>
      <c r="C803" t="s">
        <v>121</v>
      </c>
      <c r="D803" t="s">
        <v>36</v>
      </c>
      <c r="E803">
        <v>1</v>
      </c>
      <c r="F803">
        <v>5059</v>
      </c>
      <c r="G803" s="9">
        <v>0.43</v>
      </c>
      <c r="H803" t="s">
        <v>13</v>
      </c>
      <c r="I803" t="s">
        <v>2440</v>
      </c>
      <c r="J803" s="14" t="s">
        <v>73</v>
      </c>
      <c r="K803">
        <v>8</v>
      </c>
      <c r="L803" t="s">
        <v>33</v>
      </c>
      <c r="M803">
        <f>Table1[[#This Row],[UnitPrice]]*Table1[[#This Row],[Quantity]]</f>
        <v>5059</v>
      </c>
      <c r="N803">
        <f>Table1[[#This Row],[Total Price]]*Table1[[#This Row],[Discount]]</f>
        <v>2175.37</v>
      </c>
      <c r="O803">
        <f>Table1[[#This Row],[Total Price]]-Table1[[#This Row],[Discount Amount]]</f>
        <v>2883.63</v>
      </c>
    </row>
    <row r="804" spans="1:15" x14ac:dyDescent="0.3">
      <c r="A804" t="s">
        <v>2441</v>
      </c>
      <c r="B804" s="1">
        <v>45339</v>
      </c>
      <c r="C804" t="s">
        <v>2442</v>
      </c>
      <c r="D804" t="s">
        <v>31</v>
      </c>
      <c r="E804">
        <v>1</v>
      </c>
      <c r="F804">
        <v>45949</v>
      </c>
      <c r="G804" s="9">
        <v>0.18</v>
      </c>
      <c r="H804" t="s">
        <v>45</v>
      </c>
      <c r="I804" t="s">
        <v>2443</v>
      </c>
      <c r="J804" s="13" t="s">
        <v>73</v>
      </c>
      <c r="K804">
        <v>6</v>
      </c>
      <c r="L804" t="s">
        <v>28</v>
      </c>
      <c r="M804">
        <f>Table1[[#This Row],[UnitPrice]]*Table1[[#This Row],[Quantity]]</f>
        <v>45949</v>
      </c>
      <c r="N804">
        <f>Table1[[#This Row],[Total Price]]*Table1[[#This Row],[Discount]]</f>
        <v>8270.82</v>
      </c>
      <c r="O804">
        <f>Table1[[#This Row],[Total Price]]-Table1[[#This Row],[Discount Amount]]</f>
        <v>37678.18</v>
      </c>
    </row>
    <row r="805" spans="1:15" x14ac:dyDescent="0.3">
      <c r="A805" t="s">
        <v>2444</v>
      </c>
      <c r="B805" s="1">
        <v>45158</v>
      </c>
      <c r="C805" t="s">
        <v>2445</v>
      </c>
      <c r="D805" t="s">
        <v>12</v>
      </c>
      <c r="E805">
        <v>3</v>
      </c>
      <c r="F805">
        <v>3046</v>
      </c>
      <c r="G805" s="9">
        <v>0.21</v>
      </c>
      <c r="H805" t="s">
        <v>13</v>
      </c>
      <c r="I805" t="s">
        <v>2446</v>
      </c>
      <c r="J805" s="14" t="s">
        <v>73</v>
      </c>
      <c r="K805">
        <v>5</v>
      </c>
      <c r="L805" t="s">
        <v>22</v>
      </c>
      <c r="M805">
        <f>Table1[[#This Row],[UnitPrice]]*Table1[[#This Row],[Quantity]]</f>
        <v>9138</v>
      </c>
      <c r="N805">
        <f>Table1[[#This Row],[Total Price]]*Table1[[#This Row],[Discount]]</f>
        <v>1918.98</v>
      </c>
      <c r="O805">
        <f>Table1[[#This Row],[Total Price]]-Table1[[#This Row],[Discount Amount]]</f>
        <v>7219.02</v>
      </c>
    </row>
    <row r="806" spans="1:15" x14ac:dyDescent="0.3">
      <c r="A806" t="s">
        <v>2447</v>
      </c>
      <c r="B806" s="1">
        <v>45292</v>
      </c>
      <c r="C806" t="s">
        <v>2448</v>
      </c>
      <c r="D806" t="s">
        <v>31</v>
      </c>
      <c r="E806">
        <v>2</v>
      </c>
      <c r="F806">
        <v>43793</v>
      </c>
      <c r="G806" s="9">
        <v>0.21</v>
      </c>
      <c r="H806" t="s">
        <v>20</v>
      </c>
      <c r="I806" t="s">
        <v>2449</v>
      </c>
      <c r="J806" s="13" t="s">
        <v>37</v>
      </c>
      <c r="K806">
        <v>8</v>
      </c>
      <c r="L806" t="s">
        <v>28</v>
      </c>
      <c r="M806">
        <f>Table1[[#This Row],[UnitPrice]]*Table1[[#This Row],[Quantity]]</f>
        <v>87586</v>
      </c>
      <c r="N806">
        <f>Table1[[#This Row],[Total Price]]*Table1[[#This Row],[Discount]]</f>
        <v>18393.059999999998</v>
      </c>
      <c r="O806">
        <f>Table1[[#This Row],[Total Price]]-Table1[[#This Row],[Discount Amount]]</f>
        <v>69192.94</v>
      </c>
    </row>
    <row r="807" spans="1:15" x14ac:dyDescent="0.3">
      <c r="A807" t="s">
        <v>2450</v>
      </c>
      <c r="B807" s="1">
        <v>45580</v>
      </c>
      <c r="C807" t="s">
        <v>2451</v>
      </c>
      <c r="D807" t="s">
        <v>44</v>
      </c>
      <c r="E807">
        <v>2</v>
      </c>
      <c r="F807">
        <v>26461</v>
      </c>
      <c r="G807" s="9">
        <v>0.43</v>
      </c>
      <c r="H807" t="s">
        <v>45</v>
      </c>
      <c r="I807" t="s">
        <v>2452</v>
      </c>
      <c r="J807" s="14" t="s">
        <v>37</v>
      </c>
      <c r="K807">
        <v>10</v>
      </c>
      <c r="L807" t="s">
        <v>28</v>
      </c>
      <c r="M807">
        <f>Table1[[#This Row],[UnitPrice]]*Table1[[#This Row],[Quantity]]</f>
        <v>52922</v>
      </c>
      <c r="N807">
        <f>Table1[[#This Row],[Total Price]]*Table1[[#This Row],[Discount]]</f>
        <v>22756.46</v>
      </c>
      <c r="O807">
        <f>Table1[[#This Row],[Total Price]]-Table1[[#This Row],[Discount Amount]]</f>
        <v>30165.54</v>
      </c>
    </row>
    <row r="808" spans="1:15" x14ac:dyDescent="0.3">
      <c r="A808" t="s">
        <v>2453</v>
      </c>
      <c r="B808" s="1">
        <v>45170</v>
      </c>
      <c r="C808" t="s">
        <v>2454</v>
      </c>
      <c r="D808" t="s">
        <v>31</v>
      </c>
      <c r="E808">
        <v>2</v>
      </c>
      <c r="F808">
        <v>17603</v>
      </c>
      <c r="G808" s="9">
        <v>0.5</v>
      </c>
      <c r="H808" t="s">
        <v>20</v>
      </c>
      <c r="I808" t="s">
        <v>2455</v>
      </c>
      <c r="J808" s="13" t="s">
        <v>73</v>
      </c>
      <c r="K808">
        <v>9</v>
      </c>
      <c r="L808" t="s">
        <v>16</v>
      </c>
      <c r="M808">
        <f>Table1[[#This Row],[UnitPrice]]*Table1[[#This Row],[Quantity]]</f>
        <v>35206</v>
      </c>
      <c r="N808">
        <f>Table1[[#This Row],[Total Price]]*Table1[[#This Row],[Discount]]</f>
        <v>17603</v>
      </c>
      <c r="O808">
        <f>Table1[[#This Row],[Total Price]]-Table1[[#This Row],[Discount Amount]]</f>
        <v>17603</v>
      </c>
    </row>
    <row r="809" spans="1:15" x14ac:dyDescent="0.3">
      <c r="A809" t="s">
        <v>2456</v>
      </c>
      <c r="B809" s="1">
        <v>45606</v>
      </c>
      <c r="C809" t="s">
        <v>2457</v>
      </c>
      <c r="D809" t="s">
        <v>12</v>
      </c>
      <c r="E809">
        <v>3</v>
      </c>
      <c r="F809">
        <v>6731</v>
      </c>
      <c r="G809" s="9">
        <v>0.41</v>
      </c>
      <c r="H809" t="s">
        <v>20</v>
      </c>
      <c r="I809" t="s">
        <v>2458</v>
      </c>
      <c r="J809" s="14" t="s">
        <v>37</v>
      </c>
      <c r="K809">
        <v>5</v>
      </c>
      <c r="L809" t="s">
        <v>60</v>
      </c>
      <c r="M809">
        <f>Table1[[#This Row],[UnitPrice]]*Table1[[#This Row],[Quantity]]</f>
        <v>20193</v>
      </c>
      <c r="N809">
        <f>Table1[[#This Row],[Total Price]]*Table1[[#This Row],[Discount]]</f>
        <v>8279.1299999999992</v>
      </c>
      <c r="O809">
        <f>Table1[[#This Row],[Total Price]]-Table1[[#This Row],[Discount Amount]]</f>
        <v>11913.87</v>
      </c>
    </row>
    <row r="810" spans="1:15" x14ac:dyDescent="0.3">
      <c r="A810" t="s">
        <v>2459</v>
      </c>
      <c r="B810" s="1">
        <v>45335</v>
      </c>
      <c r="C810" t="s">
        <v>2460</v>
      </c>
      <c r="D810" t="s">
        <v>58</v>
      </c>
      <c r="E810">
        <v>1</v>
      </c>
      <c r="F810">
        <v>8712</v>
      </c>
      <c r="G810" s="9">
        <v>0.28000000000000003</v>
      </c>
      <c r="H810" t="s">
        <v>26</v>
      </c>
      <c r="I810" t="s">
        <v>2461</v>
      </c>
      <c r="J810" s="13" t="s">
        <v>14</v>
      </c>
      <c r="K810">
        <v>3</v>
      </c>
      <c r="L810" t="s">
        <v>60</v>
      </c>
      <c r="M810">
        <f>Table1[[#This Row],[UnitPrice]]*Table1[[#This Row],[Quantity]]</f>
        <v>8712</v>
      </c>
      <c r="N810">
        <f>Table1[[#This Row],[Total Price]]*Table1[[#This Row],[Discount]]</f>
        <v>2439.36</v>
      </c>
      <c r="O810">
        <f>Table1[[#This Row],[Total Price]]-Table1[[#This Row],[Discount Amount]]</f>
        <v>6272.6399999999994</v>
      </c>
    </row>
    <row r="811" spans="1:15" x14ac:dyDescent="0.3">
      <c r="A811" t="s">
        <v>2462</v>
      </c>
      <c r="B811" s="1">
        <v>45391</v>
      </c>
      <c r="C811" t="s">
        <v>2463</v>
      </c>
      <c r="D811" t="s">
        <v>58</v>
      </c>
      <c r="E811">
        <v>1</v>
      </c>
      <c r="F811">
        <v>7264</v>
      </c>
      <c r="G811" s="9">
        <v>0.05</v>
      </c>
      <c r="H811" t="s">
        <v>13</v>
      </c>
      <c r="I811" t="s">
        <v>2464</v>
      </c>
      <c r="J811" s="14" t="s">
        <v>14</v>
      </c>
      <c r="K811">
        <v>10</v>
      </c>
      <c r="L811" t="s">
        <v>16</v>
      </c>
      <c r="M811">
        <f>Table1[[#This Row],[UnitPrice]]*Table1[[#This Row],[Quantity]]</f>
        <v>7264</v>
      </c>
      <c r="N811">
        <f>Table1[[#This Row],[Total Price]]*Table1[[#This Row],[Discount]]</f>
        <v>363.20000000000005</v>
      </c>
      <c r="O811">
        <f>Table1[[#This Row],[Total Price]]-Table1[[#This Row],[Discount Amount]]</f>
        <v>6900.8</v>
      </c>
    </row>
    <row r="812" spans="1:15" x14ac:dyDescent="0.3">
      <c r="A812" t="s">
        <v>2465</v>
      </c>
      <c r="B812" s="1">
        <v>45077</v>
      </c>
      <c r="C812" t="s">
        <v>2466</v>
      </c>
      <c r="D812" t="s">
        <v>25</v>
      </c>
      <c r="E812">
        <v>1</v>
      </c>
      <c r="F812">
        <v>5452</v>
      </c>
      <c r="G812" s="9">
        <v>0.48</v>
      </c>
      <c r="H812" t="s">
        <v>26</v>
      </c>
      <c r="I812" t="s">
        <v>2467</v>
      </c>
      <c r="J812" s="13" t="s">
        <v>37</v>
      </c>
      <c r="K812">
        <v>5</v>
      </c>
      <c r="L812" t="s">
        <v>22</v>
      </c>
      <c r="M812">
        <f>Table1[[#This Row],[UnitPrice]]*Table1[[#This Row],[Quantity]]</f>
        <v>5452</v>
      </c>
      <c r="N812">
        <f>Table1[[#This Row],[Total Price]]*Table1[[#This Row],[Discount]]</f>
        <v>2616.96</v>
      </c>
      <c r="O812">
        <f>Table1[[#This Row],[Total Price]]-Table1[[#This Row],[Discount Amount]]</f>
        <v>2835.04</v>
      </c>
    </row>
    <row r="813" spans="1:15" x14ac:dyDescent="0.3">
      <c r="A813" t="s">
        <v>2468</v>
      </c>
      <c r="B813" s="1">
        <v>45235</v>
      </c>
      <c r="C813" t="s">
        <v>2469</v>
      </c>
      <c r="D813" t="s">
        <v>44</v>
      </c>
      <c r="E813">
        <v>1</v>
      </c>
      <c r="F813">
        <v>31913</v>
      </c>
      <c r="G813" s="9">
        <v>0.43</v>
      </c>
      <c r="H813" t="s">
        <v>45</v>
      </c>
      <c r="I813" t="s">
        <v>2470</v>
      </c>
      <c r="J813" s="14" t="s">
        <v>14</v>
      </c>
      <c r="K813">
        <v>7</v>
      </c>
      <c r="L813" t="s">
        <v>28</v>
      </c>
      <c r="M813">
        <f>Table1[[#This Row],[UnitPrice]]*Table1[[#This Row],[Quantity]]</f>
        <v>31913</v>
      </c>
      <c r="N813">
        <f>Table1[[#This Row],[Total Price]]*Table1[[#This Row],[Discount]]</f>
        <v>13722.59</v>
      </c>
      <c r="O813">
        <f>Table1[[#This Row],[Total Price]]-Table1[[#This Row],[Discount Amount]]</f>
        <v>18190.41</v>
      </c>
    </row>
    <row r="814" spans="1:15" x14ac:dyDescent="0.3">
      <c r="A814" t="s">
        <v>2471</v>
      </c>
      <c r="B814" s="1">
        <v>45317</v>
      </c>
      <c r="C814" t="s">
        <v>2472</v>
      </c>
      <c r="D814" t="s">
        <v>19</v>
      </c>
      <c r="E814">
        <v>1</v>
      </c>
      <c r="F814">
        <v>22878</v>
      </c>
      <c r="G814" s="9">
        <v>0.42</v>
      </c>
      <c r="H814" t="s">
        <v>26</v>
      </c>
      <c r="I814" t="s">
        <v>2473</v>
      </c>
      <c r="J814" s="13" t="s">
        <v>37</v>
      </c>
      <c r="K814">
        <v>6</v>
      </c>
      <c r="L814" t="s">
        <v>60</v>
      </c>
      <c r="M814">
        <f>Table1[[#This Row],[UnitPrice]]*Table1[[#This Row],[Quantity]]</f>
        <v>22878</v>
      </c>
      <c r="N814">
        <f>Table1[[#This Row],[Total Price]]*Table1[[#This Row],[Discount]]</f>
        <v>9608.76</v>
      </c>
      <c r="O814">
        <f>Table1[[#This Row],[Total Price]]-Table1[[#This Row],[Discount Amount]]</f>
        <v>13269.24</v>
      </c>
    </row>
    <row r="815" spans="1:15" x14ac:dyDescent="0.3">
      <c r="A815" t="s">
        <v>2474</v>
      </c>
      <c r="B815" s="1">
        <v>45731</v>
      </c>
      <c r="C815" t="s">
        <v>2475</v>
      </c>
      <c r="D815" t="s">
        <v>44</v>
      </c>
      <c r="E815">
        <v>2</v>
      </c>
      <c r="F815">
        <v>51996</v>
      </c>
      <c r="G815" s="9">
        <v>0.2</v>
      </c>
      <c r="H815" t="s">
        <v>13</v>
      </c>
      <c r="I815" t="s">
        <v>2476</v>
      </c>
      <c r="J815" s="14" t="s">
        <v>37</v>
      </c>
      <c r="K815">
        <v>8</v>
      </c>
      <c r="L815" t="s">
        <v>28</v>
      </c>
      <c r="M815">
        <f>Table1[[#This Row],[UnitPrice]]*Table1[[#This Row],[Quantity]]</f>
        <v>103992</v>
      </c>
      <c r="N815">
        <f>Table1[[#This Row],[Total Price]]*Table1[[#This Row],[Discount]]</f>
        <v>20798.400000000001</v>
      </c>
      <c r="O815">
        <f>Table1[[#This Row],[Total Price]]-Table1[[#This Row],[Discount Amount]]</f>
        <v>83193.600000000006</v>
      </c>
    </row>
    <row r="816" spans="1:15" x14ac:dyDescent="0.3">
      <c r="A816" t="s">
        <v>2477</v>
      </c>
      <c r="B816" s="1">
        <v>45637</v>
      </c>
      <c r="C816" t="s">
        <v>2478</v>
      </c>
      <c r="D816" t="s">
        <v>31</v>
      </c>
      <c r="E816">
        <v>1</v>
      </c>
      <c r="F816">
        <v>38505</v>
      </c>
      <c r="G816" s="9">
        <v>0.22</v>
      </c>
      <c r="H816" t="s">
        <v>13</v>
      </c>
      <c r="I816" t="s">
        <v>2479</v>
      </c>
      <c r="J816" s="13" t="s">
        <v>73</v>
      </c>
      <c r="K816">
        <v>4</v>
      </c>
      <c r="L816" t="s">
        <v>16</v>
      </c>
      <c r="M816">
        <f>Table1[[#This Row],[UnitPrice]]*Table1[[#This Row],[Quantity]]</f>
        <v>38505</v>
      </c>
      <c r="N816">
        <f>Table1[[#This Row],[Total Price]]*Table1[[#This Row],[Discount]]</f>
        <v>8471.1</v>
      </c>
      <c r="O816">
        <f>Table1[[#This Row],[Total Price]]-Table1[[#This Row],[Discount Amount]]</f>
        <v>30033.9</v>
      </c>
    </row>
    <row r="817" spans="1:15" x14ac:dyDescent="0.3">
      <c r="A817" t="s">
        <v>2480</v>
      </c>
      <c r="B817" s="1">
        <v>45508</v>
      </c>
      <c r="C817" t="s">
        <v>2481</v>
      </c>
      <c r="D817" t="s">
        <v>36</v>
      </c>
      <c r="E817">
        <v>2</v>
      </c>
      <c r="F817">
        <v>6932</v>
      </c>
      <c r="G817" s="9">
        <v>0.06</v>
      </c>
      <c r="H817" t="s">
        <v>45</v>
      </c>
      <c r="I817" t="s">
        <v>2482</v>
      </c>
      <c r="J817" s="14" t="s">
        <v>14</v>
      </c>
      <c r="K817">
        <v>8</v>
      </c>
      <c r="L817" t="s">
        <v>16</v>
      </c>
      <c r="M817">
        <f>Table1[[#This Row],[UnitPrice]]*Table1[[#This Row],[Quantity]]</f>
        <v>13864</v>
      </c>
      <c r="N817">
        <f>Table1[[#This Row],[Total Price]]*Table1[[#This Row],[Discount]]</f>
        <v>831.83999999999992</v>
      </c>
      <c r="O817">
        <f>Table1[[#This Row],[Total Price]]-Table1[[#This Row],[Discount Amount]]</f>
        <v>13032.16</v>
      </c>
    </row>
    <row r="818" spans="1:15" x14ac:dyDescent="0.3">
      <c r="A818" t="s">
        <v>2483</v>
      </c>
      <c r="B818" s="1">
        <v>45343</v>
      </c>
      <c r="C818" t="s">
        <v>2484</v>
      </c>
      <c r="D818" t="s">
        <v>25</v>
      </c>
      <c r="E818">
        <v>1</v>
      </c>
      <c r="F818">
        <v>12548</v>
      </c>
      <c r="G818" s="9">
        <v>0.47</v>
      </c>
      <c r="H818" t="s">
        <v>26</v>
      </c>
      <c r="I818" t="s">
        <v>2485</v>
      </c>
      <c r="J818" s="13" t="s">
        <v>73</v>
      </c>
      <c r="K818">
        <v>8</v>
      </c>
      <c r="L818" t="s">
        <v>22</v>
      </c>
      <c r="M818">
        <f>Table1[[#This Row],[UnitPrice]]*Table1[[#This Row],[Quantity]]</f>
        <v>12548</v>
      </c>
      <c r="N818">
        <f>Table1[[#This Row],[Total Price]]*Table1[[#This Row],[Discount]]</f>
        <v>5897.5599999999995</v>
      </c>
      <c r="O818">
        <f>Table1[[#This Row],[Total Price]]-Table1[[#This Row],[Discount Amount]]</f>
        <v>6650.4400000000005</v>
      </c>
    </row>
    <row r="819" spans="1:15" x14ac:dyDescent="0.3">
      <c r="A819" t="s">
        <v>2486</v>
      </c>
      <c r="B819" s="1">
        <v>45204</v>
      </c>
      <c r="C819" t="s">
        <v>2487</v>
      </c>
      <c r="D819" t="s">
        <v>31</v>
      </c>
      <c r="E819">
        <v>1</v>
      </c>
      <c r="F819">
        <v>17956</v>
      </c>
      <c r="G819" s="9">
        <v>0.47</v>
      </c>
      <c r="H819" t="s">
        <v>26</v>
      </c>
      <c r="I819" t="s">
        <v>2488</v>
      </c>
      <c r="J819" s="14" t="s">
        <v>37</v>
      </c>
      <c r="K819">
        <v>7</v>
      </c>
      <c r="L819" t="s">
        <v>28</v>
      </c>
      <c r="M819">
        <f>Table1[[#This Row],[UnitPrice]]*Table1[[#This Row],[Quantity]]</f>
        <v>17956</v>
      </c>
      <c r="N819">
        <f>Table1[[#This Row],[Total Price]]*Table1[[#This Row],[Discount]]</f>
        <v>8439.32</v>
      </c>
      <c r="O819">
        <f>Table1[[#This Row],[Total Price]]-Table1[[#This Row],[Discount Amount]]</f>
        <v>9516.68</v>
      </c>
    </row>
    <row r="820" spans="1:15" x14ac:dyDescent="0.3">
      <c r="A820" t="s">
        <v>2489</v>
      </c>
      <c r="B820" s="1">
        <v>44987</v>
      </c>
      <c r="C820" t="s">
        <v>2490</v>
      </c>
      <c r="D820" t="s">
        <v>19</v>
      </c>
      <c r="E820">
        <v>1</v>
      </c>
      <c r="F820">
        <v>36342</v>
      </c>
      <c r="G820" s="9">
        <v>0.13</v>
      </c>
      <c r="H820" t="s">
        <v>26</v>
      </c>
      <c r="I820" t="s">
        <v>2491</v>
      </c>
      <c r="J820" s="13" t="s">
        <v>73</v>
      </c>
      <c r="K820">
        <v>9</v>
      </c>
      <c r="L820" t="s">
        <v>22</v>
      </c>
      <c r="M820">
        <f>Table1[[#This Row],[UnitPrice]]*Table1[[#This Row],[Quantity]]</f>
        <v>36342</v>
      </c>
      <c r="N820">
        <f>Table1[[#This Row],[Total Price]]*Table1[[#This Row],[Discount]]</f>
        <v>4724.46</v>
      </c>
      <c r="O820">
        <f>Table1[[#This Row],[Total Price]]-Table1[[#This Row],[Discount Amount]]</f>
        <v>31617.54</v>
      </c>
    </row>
    <row r="821" spans="1:15" x14ac:dyDescent="0.3">
      <c r="A821" t="s">
        <v>2492</v>
      </c>
      <c r="B821" s="1">
        <v>45563</v>
      </c>
      <c r="C821" t="s">
        <v>2493</v>
      </c>
      <c r="D821" t="s">
        <v>19</v>
      </c>
      <c r="E821">
        <v>2</v>
      </c>
      <c r="F821">
        <v>36657</v>
      </c>
      <c r="G821" s="9">
        <v>0.35</v>
      </c>
      <c r="H821" t="s">
        <v>13</v>
      </c>
      <c r="I821" t="s">
        <v>2494</v>
      </c>
      <c r="J821" s="14" t="s">
        <v>37</v>
      </c>
      <c r="K821">
        <v>7</v>
      </c>
      <c r="L821" t="s">
        <v>60</v>
      </c>
      <c r="M821">
        <f>Table1[[#This Row],[UnitPrice]]*Table1[[#This Row],[Quantity]]</f>
        <v>73314</v>
      </c>
      <c r="N821">
        <f>Table1[[#This Row],[Total Price]]*Table1[[#This Row],[Discount]]</f>
        <v>25659.899999999998</v>
      </c>
      <c r="O821">
        <f>Table1[[#This Row],[Total Price]]-Table1[[#This Row],[Discount Amount]]</f>
        <v>47654.100000000006</v>
      </c>
    </row>
    <row r="822" spans="1:15" x14ac:dyDescent="0.3">
      <c r="A822" t="s">
        <v>2495</v>
      </c>
      <c r="B822" s="1">
        <v>45073</v>
      </c>
      <c r="C822" t="s">
        <v>2496</v>
      </c>
      <c r="D822" t="s">
        <v>19</v>
      </c>
      <c r="E822">
        <v>3</v>
      </c>
      <c r="F822">
        <v>15370</v>
      </c>
      <c r="G822" s="9">
        <v>0.1</v>
      </c>
      <c r="H822" t="s">
        <v>50</v>
      </c>
      <c r="I822" t="s">
        <v>2497</v>
      </c>
      <c r="J822" s="13" t="s">
        <v>73</v>
      </c>
      <c r="K822">
        <v>6</v>
      </c>
      <c r="L822" t="s">
        <v>28</v>
      </c>
      <c r="M822">
        <f>Table1[[#This Row],[UnitPrice]]*Table1[[#This Row],[Quantity]]</f>
        <v>46110</v>
      </c>
      <c r="N822">
        <f>Table1[[#This Row],[Total Price]]*Table1[[#This Row],[Discount]]</f>
        <v>4611</v>
      </c>
      <c r="O822">
        <f>Table1[[#This Row],[Total Price]]-Table1[[#This Row],[Discount Amount]]</f>
        <v>41499</v>
      </c>
    </row>
    <row r="823" spans="1:15" x14ac:dyDescent="0.3">
      <c r="A823" t="s">
        <v>2498</v>
      </c>
      <c r="B823" s="1">
        <v>45640</v>
      </c>
      <c r="C823" t="s">
        <v>2499</v>
      </c>
      <c r="D823" t="s">
        <v>44</v>
      </c>
      <c r="E823">
        <v>1</v>
      </c>
      <c r="F823">
        <v>73954</v>
      </c>
      <c r="G823" s="9">
        <v>0.2</v>
      </c>
      <c r="H823" t="s">
        <v>26</v>
      </c>
      <c r="I823" t="s">
        <v>2500</v>
      </c>
      <c r="J823" s="14" t="s">
        <v>37</v>
      </c>
      <c r="K823">
        <v>5</v>
      </c>
      <c r="L823" t="s">
        <v>33</v>
      </c>
      <c r="M823">
        <f>Table1[[#This Row],[UnitPrice]]*Table1[[#This Row],[Quantity]]</f>
        <v>73954</v>
      </c>
      <c r="N823">
        <f>Table1[[#This Row],[Total Price]]*Table1[[#This Row],[Discount]]</f>
        <v>14790.800000000001</v>
      </c>
      <c r="O823">
        <f>Table1[[#This Row],[Total Price]]-Table1[[#This Row],[Discount Amount]]</f>
        <v>59163.199999999997</v>
      </c>
    </row>
    <row r="824" spans="1:15" x14ac:dyDescent="0.3">
      <c r="A824" t="s">
        <v>2501</v>
      </c>
      <c r="B824" s="1">
        <v>45731</v>
      </c>
      <c r="C824" t="s">
        <v>2502</v>
      </c>
      <c r="D824" t="s">
        <v>19</v>
      </c>
      <c r="E824">
        <v>3</v>
      </c>
      <c r="F824">
        <v>21448</v>
      </c>
      <c r="G824" s="9">
        <v>0.15</v>
      </c>
      <c r="H824" t="s">
        <v>45</v>
      </c>
      <c r="I824" t="s">
        <v>2503</v>
      </c>
      <c r="J824" s="13" t="s">
        <v>73</v>
      </c>
      <c r="K824">
        <v>1</v>
      </c>
      <c r="L824" t="s">
        <v>60</v>
      </c>
      <c r="M824">
        <f>Table1[[#This Row],[UnitPrice]]*Table1[[#This Row],[Quantity]]</f>
        <v>64344</v>
      </c>
      <c r="N824">
        <f>Table1[[#This Row],[Total Price]]*Table1[[#This Row],[Discount]]</f>
        <v>9651.6</v>
      </c>
      <c r="O824">
        <f>Table1[[#This Row],[Total Price]]-Table1[[#This Row],[Discount Amount]]</f>
        <v>54692.4</v>
      </c>
    </row>
    <row r="825" spans="1:15" x14ac:dyDescent="0.3">
      <c r="A825" t="s">
        <v>2504</v>
      </c>
      <c r="B825" s="1">
        <v>45572</v>
      </c>
      <c r="C825" t="s">
        <v>2505</v>
      </c>
      <c r="D825" t="s">
        <v>44</v>
      </c>
      <c r="E825">
        <v>1</v>
      </c>
      <c r="F825">
        <v>38462</v>
      </c>
      <c r="G825" s="9">
        <v>0.19</v>
      </c>
      <c r="H825" t="s">
        <v>26</v>
      </c>
      <c r="I825" t="s">
        <v>2506</v>
      </c>
      <c r="J825" s="14" t="s">
        <v>14</v>
      </c>
      <c r="K825">
        <v>8</v>
      </c>
      <c r="L825" t="s">
        <v>16</v>
      </c>
      <c r="M825">
        <f>Table1[[#This Row],[UnitPrice]]*Table1[[#This Row],[Quantity]]</f>
        <v>38462</v>
      </c>
      <c r="N825">
        <f>Table1[[#This Row],[Total Price]]*Table1[[#This Row],[Discount]]</f>
        <v>7307.78</v>
      </c>
      <c r="O825">
        <f>Table1[[#This Row],[Total Price]]-Table1[[#This Row],[Discount Amount]]</f>
        <v>31154.22</v>
      </c>
    </row>
    <row r="826" spans="1:15" x14ac:dyDescent="0.3">
      <c r="A826" t="s">
        <v>2507</v>
      </c>
      <c r="B826" s="1">
        <v>45167</v>
      </c>
      <c r="C826" t="s">
        <v>2508</v>
      </c>
      <c r="D826" t="s">
        <v>12</v>
      </c>
      <c r="E826">
        <v>2</v>
      </c>
      <c r="F826">
        <v>4742</v>
      </c>
      <c r="G826" s="9">
        <v>0.15</v>
      </c>
      <c r="H826" t="s">
        <v>26</v>
      </c>
      <c r="I826" t="s">
        <v>2509</v>
      </c>
      <c r="J826" s="13" t="s">
        <v>73</v>
      </c>
      <c r="K826">
        <v>3</v>
      </c>
      <c r="L826" t="s">
        <v>33</v>
      </c>
      <c r="M826">
        <f>Table1[[#This Row],[UnitPrice]]*Table1[[#This Row],[Quantity]]</f>
        <v>9484</v>
      </c>
      <c r="N826">
        <f>Table1[[#This Row],[Total Price]]*Table1[[#This Row],[Discount]]</f>
        <v>1422.6</v>
      </c>
      <c r="O826">
        <f>Table1[[#This Row],[Total Price]]-Table1[[#This Row],[Discount Amount]]</f>
        <v>8061.4</v>
      </c>
    </row>
    <row r="827" spans="1:15" x14ac:dyDescent="0.3">
      <c r="A827" t="s">
        <v>2510</v>
      </c>
      <c r="B827" s="1">
        <v>45742</v>
      </c>
      <c r="C827" t="s">
        <v>2511</v>
      </c>
      <c r="D827" t="s">
        <v>58</v>
      </c>
      <c r="E827">
        <v>2</v>
      </c>
      <c r="F827">
        <v>9790</v>
      </c>
      <c r="G827" s="9">
        <v>0.17</v>
      </c>
      <c r="H827" t="s">
        <v>20</v>
      </c>
      <c r="I827" t="s">
        <v>2512</v>
      </c>
      <c r="J827" s="14" t="s">
        <v>37</v>
      </c>
      <c r="K827">
        <v>7</v>
      </c>
      <c r="L827" t="s">
        <v>16</v>
      </c>
      <c r="M827">
        <f>Table1[[#This Row],[UnitPrice]]*Table1[[#This Row],[Quantity]]</f>
        <v>19580</v>
      </c>
      <c r="N827">
        <f>Table1[[#This Row],[Total Price]]*Table1[[#This Row],[Discount]]</f>
        <v>3328.6000000000004</v>
      </c>
      <c r="O827">
        <f>Table1[[#This Row],[Total Price]]-Table1[[#This Row],[Discount Amount]]</f>
        <v>16251.4</v>
      </c>
    </row>
    <row r="828" spans="1:15" x14ac:dyDescent="0.3">
      <c r="A828" t="s">
        <v>2513</v>
      </c>
      <c r="B828" s="1">
        <v>45724</v>
      </c>
      <c r="C828" t="s">
        <v>2514</v>
      </c>
      <c r="D828" t="s">
        <v>36</v>
      </c>
      <c r="E828">
        <v>2</v>
      </c>
      <c r="F828">
        <v>7697</v>
      </c>
      <c r="G828" s="9">
        <v>0.4</v>
      </c>
      <c r="H828" t="s">
        <v>20</v>
      </c>
      <c r="I828" t="s">
        <v>2515</v>
      </c>
      <c r="J828" s="13" t="s">
        <v>14</v>
      </c>
      <c r="K828">
        <v>8</v>
      </c>
      <c r="L828" t="s">
        <v>28</v>
      </c>
      <c r="M828">
        <f>Table1[[#This Row],[UnitPrice]]*Table1[[#This Row],[Quantity]]</f>
        <v>15394</v>
      </c>
      <c r="N828">
        <f>Table1[[#This Row],[Total Price]]*Table1[[#This Row],[Discount]]</f>
        <v>6157.6</v>
      </c>
      <c r="O828">
        <f>Table1[[#This Row],[Total Price]]-Table1[[#This Row],[Discount Amount]]</f>
        <v>9236.4</v>
      </c>
    </row>
    <row r="829" spans="1:15" x14ac:dyDescent="0.3">
      <c r="A829" t="s">
        <v>2516</v>
      </c>
      <c r="B829" s="1">
        <v>45071</v>
      </c>
      <c r="C829" t="s">
        <v>2517</v>
      </c>
      <c r="D829" t="s">
        <v>25</v>
      </c>
      <c r="E829">
        <v>3</v>
      </c>
      <c r="F829">
        <v>11709</v>
      </c>
      <c r="G829" s="9">
        <v>0.15</v>
      </c>
      <c r="H829" t="s">
        <v>50</v>
      </c>
      <c r="I829" t="s">
        <v>2518</v>
      </c>
      <c r="J829" s="14" t="s">
        <v>37</v>
      </c>
      <c r="K829">
        <v>5</v>
      </c>
      <c r="L829" t="s">
        <v>16</v>
      </c>
      <c r="M829">
        <f>Table1[[#This Row],[UnitPrice]]*Table1[[#This Row],[Quantity]]</f>
        <v>35127</v>
      </c>
      <c r="N829">
        <f>Table1[[#This Row],[Total Price]]*Table1[[#This Row],[Discount]]</f>
        <v>5269.05</v>
      </c>
      <c r="O829">
        <f>Table1[[#This Row],[Total Price]]-Table1[[#This Row],[Discount Amount]]</f>
        <v>29857.95</v>
      </c>
    </row>
    <row r="830" spans="1:15" x14ac:dyDescent="0.3">
      <c r="A830" t="s">
        <v>2519</v>
      </c>
      <c r="B830" s="1">
        <v>45497</v>
      </c>
      <c r="C830" t="s">
        <v>2520</v>
      </c>
      <c r="D830" t="s">
        <v>31</v>
      </c>
      <c r="E830">
        <v>1</v>
      </c>
      <c r="F830">
        <v>21189</v>
      </c>
      <c r="G830" s="9">
        <v>0.41</v>
      </c>
      <c r="H830" t="s">
        <v>50</v>
      </c>
      <c r="I830" t="s">
        <v>2521</v>
      </c>
      <c r="J830" s="13" t="s">
        <v>14</v>
      </c>
      <c r="K830">
        <v>5</v>
      </c>
      <c r="L830" t="s">
        <v>16</v>
      </c>
      <c r="M830">
        <f>Table1[[#This Row],[UnitPrice]]*Table1[[#This Row],[Quantity]]</f>
        <v>21189</v>
      </c>
      <c r="N830">
        <f>Table1[[#This Row],[Total Price]]*Table1[[#This Row],[Discount]]</f>
        <v>8687.49</v>
      </c>
      <c r="O830">
        <f>Table1[[#This Row],[Total Price]]-Table1[[#This Row],[Discount Amount]]</f>
        <v>12501.51</v>
      </c>
    </row>
    <row r="831" spans="1:15" x14ac:dyDescent="0.3">
      <c r="A831" t="s">
        <v>2522</v>
      </c>
      <c r="B831" s="1">
        <v>44962</v>
      </c>
      <c r="C831" t="s">
        <v>2523</v>
      </c>
      <c r="D831" t="s">
        <v>12</v>
      </c>
      <c r="E831">
        <v>2</v>
      </c>
      <c r="F831">
        <v>2714</v>
      </c>
      <c r="G831" s="9">
        <v>0.28000000000000003</v>
      </c>
      <c r="H831" t="s">
        <v>13</v>
      </c>
      <c r="I831" t="s">
        <v>2524</v>
      </c>
      <c r="J831" s="14" t="s">
        <v>37</v>
      </c>
      <c r="K831">
        <v>6</v>
      </c>
      <c r="L831" t="s">
        <v>16</v>
      </c>
      <c r="M831">
        <f>Table1[[#This Row],[UnitPrice]]*Table1[[#This Row],[Quantity]]</f>
        <v>5428</v>
      </c>
      <c r="N831">
        <f>Table1[[#This Row],[Total Price]]*Table1[[#This Row],[Discount]]</f>
        <v>1519.8400000000001</v>
      </c>
      <c r="O831">
        <f>Table1[[#This Row],[Total Price]]-Table1[[#This Row],[Discount Amount]]</f>
        <v>3908.16</v>
      </c>
    </row>
    <row r="832" spans="1:15" x14ac:dyDescent="0.3">
      <c r="A832" t="s">
        <v>2525</v>
      </c>
      <c r="B832" s="1">
        <v>45637</v>
      </c>
      <c r="C832" t="s">
        <v>2526</v>
      </c>
      <c r="D832" t="s">
        <v>25</v>
      </c>
      <c r="E832">
        <v>2</v>
      </c>
      <c r="F832">
        <v>16411</v>
      </c>
      <c r="G832" s="9">
        <v>0.39</v>
      </c>
      <c r="H832" t="s">
        <v>50</v>
      </c>
      <c r="I832" t="s">
        <v>2527</v>
      </c>
      <c r="J832" s="13" t="s">
        <v>37</v>
      </c>
      <c r="K832">
        <v>5</v>
      </c>
      <c r="L832" t="s">
        <v>28</v>
      </c>
      <c r="M832">
        <f>Table1[[#This Row],[UnitPrice]]*Table1[[#This Row],[Quantity]]</f>
        <v>32822</v>
      </c>
      <c r="N832">
        <f>Table1[[#This Row],[Total Price]]*Table1[[#This Row],[Discount]]</f>
        <v>12800.58</v>
      </c>
      <c r="O832">
        <f>Table1[[#This Row],[Total Price]]-Table1[[#This Row],[Discount Amount]]</f>
        <v>20021.419999999998</v>
      </c>
    </row>
    <row r="833" spans="1:15" x14ac:dyDescent="0.3">
      <c r="A833" t="s">
        <v>2528</v>
      </c>
      <c r="B833" s="1">
        <v>45278</v>
      </c>
      <c r="C833" t="s">
        <v>2529</v>
      </c>
      <c r="D833" t="s">
        <v>36</v>
      </c>
      <c r="E833">
        <v>3</v>
      </c>
      <c r="F833">
        <v>7845</v>
      </c>
      <c r="G833" s="9">
        <v>0.46</v>
      </c>
      <c r="H833" t="s">
        <v>20</v>
      </c>
      <c r="I833" t="s">
        <v>2530</v>
      </c>
      <c r="J833" s="14" t="s">
        <v>73</v>
      </c>
      <c r="K833">
        <v>5</v>
      </c>
      <c r="L833" t="s">
        <v>60</v>
      </c>
      <c r="M833">
        <f>Table1[[#This Row],[UnitPrice]]*Table1[[#This Row],[Quantity]]</f>
        <v>23535</v>
      </c>
      <c r="N833">
        <f>Table1[[#This Row],[Total Price]]*Table1[[#This Row],[Discount]]</f>
        <v>10826.1</v>
      </c>
      <c r="O833">
        <f>Table1[[#This Row],[Total Price]]-Table1[[#This Row],[Discount Amount]]</f>
        <v>12708.9</v>
      </c>
    </row>
    <row r="834" spans="1:15" x14ac:dyDescent="0.3">
      <c r="A834" t="s">
        <v>2531</v>
      </c>
      <c r="B834" s="1">
        <v>45363</v>
      </c>
      <c r="C834" t="s">
        <v>2532</v>
      </c>
      <c r="D834" t="s">
        <v>31</v>
      </c>
      <c r="E834">
        <v>2</v>
      </c>
      <c r="F834">
        <v>24588</v>
      </c>
      <c r="G834" s="9">
        <v>7.0000000000000007E-2</v>
      </c>
      <c r="H834" t="s">
        <v>20</v>
      </c>
      <c r="I834" t="s">
        <v>2533</v>
      </c>
      <c r="J834" s="13" t="s">
        <v>73</v>
      </c>
      <c r="K834">
        <v>10</v>
      </c>
      <c r="L834" t="s">
        <v>22</v>
      </c>
      <c r="M834">
        <f>Table1[[#This Row],[UnitPrice]]*Table1[[#This Row],[Quantity]]</f>
        <v>49176</v>
      </c>
      <c r="N834">
        <f>Table1[[#This Row],[Total Price]]*Table1[[#This Row],[Discount]]</f>
        <v>3442.32</v>
      </c>
      <c r="O834">
        <f>Table1[[#This Row],[Total Price]]-Table1[[#This Row],[Discount Amount]]</f>
        <v>45733.68</v>
      </c>
    </row>
    <row r="835" spans="1:15" x14ac:dyDescent="0.3">
      <c r="A835" t="s">
        <v>2534</v>
      </c>
      <c r="B835" s="1">
        <v>45730</v>
      </c>
      <c r="C835" t="s">
        <v>2535</v>
      </c>
      <c r="D835" t="s">
        <v>19</v>
      </c>
      <c r="E835">
        <v>1</v>
      </c>
      <c r="F835">
        <v>47683</v>
      </c>
      <c r="G835" s="9">
        <v>0.17</v>
      </c>
      <c r="H835" t="s">
        <v>26</v>
      </c>
      <c r="I835" t="s">
        <v>2536</v>
      </c>
      <c r="J835" s="14" t="s">
        <v>14</v>
      </c>
      <c r="K835">
        <v>5</v>
      </c>
      <c r="L835" t="s">
        <v>22</v>
      </c>
      <c r="M835">
        <f>Table1[[#This Row],[UnitPrice]]*Table1[[#This Row],[Quantity]]</f>
        <v>47683</v>
      </c>
      <c r="N835">
        <f>Table1[[#This Row],[Total Price]]*Table1[[#This Row],[Discount]]</f>
        <v>8106.1100000000006</v>
      </c>
      <c r="O835">
        <f>Table1[[#This Row],[Total Price]]-Table1[[#This Row],[Discount Amount]]</f>
        <v>39576.89</v>
      </c>
    </row>
    <row r="836" spans="1:15" x14ac:dyDescent="0.3">
      <c r="A836" t="s">
        <v>2537</v>
      </c>
      <c r="B836" s="1">
        <v>45393</v>
      </c>
      <c r="C836" t="s">
        <v>2538</v>
      </c>
      <c r="D836" t="s">
        <v>36</v>
      </c>
      <c r="E836">
        <v>1</v>
      </c>
      <c r="F836">
        <v>5632</v>
      </c>
      <c r="G836" s="9">
        <v>0.03</v>
      </c>
      <c r="H836" t="s">
        <v>50</v>
      </c>
      <c r="I836" t="s">
        <v>2539</v>
      </c>
      <c r="J836" s="13" t="s">
        <v>14</v>
      </c>
      <c r="K836">
        <v>10</v>
      </c>
      <c r="L836" t="s">
        <v>16</v>
      </c>
      <c r="M836">
        <f>Table1[[#This Row],[UnitPrice]]*Table1[[#This Row],[Quantity]]</f>
        <v>5632</v>
      </c>
      <c r="N836">
        <f>Table1[[#This Row],[Total Price]]*Table1[[#This Row],[Discount]]</f>
        <v>168.95999999999998</v>
      </c>
      <c r="O836">
        <f>Table1[[#This Row],[Total Price]]-Table1[[#This Row],[Discount Amount]]</f>
        <v>5463.04</v>
      </c>
    </row>
    <row r="837" spans="1:15" x14ac:dyDescent="0.3">
      <c r="A837" t="s">
        <v>2540</v>
      </c>
      <c r="B837" s="1">
        <v>45377</v>
      </c>
      <c r="C837" t="s">
        <v>2541</v>
      </c>
      <c r="D837" t="s">
        <v>58</v>
      </c>
      <c r="E837">
        <v>2</v>
      </c>
      <c r="F837">
        <v>4969</v>
      </c>
      <c r="G837" s="9">
        <v>0.2</v>
      </c>
      <c r="H837" t="s">
        <v>13</v>
      </c>
      <c r="I837" t="s">
        <v>2542</v>
      </c>
      <c r="J837" s="14" t="s">
        <v>14</v>
      </c>
      <c r="K837">
        <v>6</v>
      </c>
      <c r="L837" t="s">
        <v>60</v>
      </c>
      <c r="M837">
        <f>Table1[[#This Row],[UnitPrice]]*Table1[[#This Row],[Quantity]]</f>
        <v>9938</v>
      </c>
      <c r="N837">
        <f>Table1[[#This Row],[Total Price]]*Table1[[#This Row],[Discount]]</f>
        <v>1987.6000000000001</v>
      </c>
      <c r="O837">
        <f>Table1[[#This Row],[Total Price]]-Table1[[#This Row],[Discount Amount]]</f>
        <v>7950.4</v>
      </c>
    </row>
    <row r="838" spans="1:15" x14ac:dyDescent="0.3">
      <c r="A838" t="s">
        <v>2543</v>
      </c>
      <c r="B838" s="1">
        <v>44959</v>
      </c>
      <c r="C838" t="s">
        <v>2544</v>
      </c>
      <c r="D838" t="s">
        <v>19</v>
      </c>
      <c r="E838">
        <v>3</v>
      </c>
      <c r="F838">
        <v>28883</v>
      </c>
      <c r="G838" s="9">
        <v>0.12</v>
      </c>
      <c r="H838" t="s">
        <v>26</v>
      </c>
      <c r="I838" t="s">
        <v>2545</v>
      </c>
      <c r="J838" s="13" t="s">
        <v>73</v>
      </c>
      <c r="K838">
        <v>2</v>
      </c>
      <c r="L838" t="s">
        <v>60</v>
      </c>
      <c r="M838">
        <f>Table1[[#This Row],[UnitPrice]]*Table1[[#This Row],[Quantity]]</f>
        <v>86649</v>
      </c>
      <c r="N838">
        <f>Table1[[#This Row],[Total Price]]*Table1[[#This Row],[Discount]]</f>
        <v>10397.879999999999</v>
      </c>
      <c r="O838">
        <f>Table1[[#This Row],[Total Price]]-Table1[[#This Row],[Discount Amount]]</f>
        <v>76251.12</v>
      </c>
    </row>
    <row r="839" spans="1:15" x14ac:dyDescent="0.3">
      <c r="A839" t="s">
        <v>2546</v>
      </c>
      <c r="B839" s="1">
        <v>45822</v>
      </c>
      <c r="C839" t="s">
        <v>2547</v>
      </c>
      <c r="D839" t="s">
        <v>31</v>
      </c>
      <c r="E839">
        <v>3</v>
      </c>
      <c r="F839">
        <v>15051</v>
      </c>
      <c r="G839" s="9">
        <v>0.28999999999999998</v>
      </c>
      <c r="H839" t="s">
        <v>20</v>
      </c>
      <c r="I839" t="s">
        <v>2548</v>
      </c>
      <c r="J839" s="14" t="s">
        <v>37</v>
      </c>
      <c r="K839">
        <v>5</v>
      </c>
      <c r="L839" t="s">
        <v>28</v>
      </c>
      <c r="M839">
        <f>Table1[[#This Row],[UnitPrice]]*Table1[[#This Row],[Quantity]]</f>
        <v>45153</v>
      </c>
      <c r="N839">
        <f>Table1[[#This Row],[Total Price]]*Table1[[#This Row],[Discount]]</f>
        <v>13094.369999999999</v>
      </c>
      <c r="O839">
        <f>Table1[[#This Row],[Total Price]]-Table1[[#This Row],[Discount Amount]]</f>
        <v>32058.63</v>
      </c>
    </row>
    <row r="840" spans="1:15" x14ac:dyDescent="0.3">
      <c r="A840" t="s">
        <v>2549</v>
      </c>
      <c r="B840" s="1">
        <v>45393</v>
      </c>
      <c r="C840" t="s">
        <v>2550</v>
      </c>
      <c r="D840" t="s">
        <v>58</v>
      </c>
      <c r="E840">
        <v>1</v>
      </c>
      <c r="F840">
        <v>4751</v>
      </c>
      <c r="G840" s="9">
        <v>0.39</v>
      </c>
      <c r="H840" t="s">
        <v>20</v>
      </c>
      <c r="I840" t="s">
        <v>2551</v>
      </c>
      <c r="J840" s="13" t="s">
        <v>73</v>
      </c>
      <c r="K840">
        <v>8</v>
      </c>
      <c r="L840" t="s">
        <v>33</v>
      </c>
      <c r="M840">
        <f>Table1[[#This Row],[UnitPrice]]*Table1[[#This Row],[Quantity]]</f>
        <v>4751</v>
      </c>
      <c r="N840">
        <f>Table1[[#This Row],[Total Price]]*Table1[[#This Row],[Discount]]</f>
        <v>1852.89</v>
      </c>
      <c r="O840">
        <f>Table1[[#This Row],[Total Price]]-Table1[[#This Row],[Discount Amount]]</f>
        <v>2898.1099999999997</v>
      </c>
    </row>
    <row r="841" spans="1:15" x14ac:dyDescent="0.3">
      <c r="A841" t="s">
        <v>2552</v>
      </c>
      <c r="B841" s="1">
        <v>45162</v>
      </c>
      <c r="C841" t="s">
        <v>2553</v>
      </c>
      <c r="D841" t="s">
        <v>31</v>
      </c>
      <c r="E841">
        <v>3</v>
      </c>
      <c r="F841">
        <v>35447</v>
      </c>
      <c r="G841" s="9">
        <v>0.24</v>
      </c>
      <c r="H841" t="s">
        <v>20</v>
      </c>
      <c r="I841" t="s">
        <v>2554</v>
      </c>
      <c r="J841" s="14" t="s">
        <v>14</v>
      </c>
      <c r="K841">
        <v>5</v>
      </c>
      <c r="L841" t="s">
        <v>60</v>
      </c>
      <c r="M841">
        <f>Table1[[#This Row],[UnitPrice]]*Table1[[#This Row],[Quantity]]</f>
        <v>106341</v>
      </c>
      <c r="N841">
        <f>Table1[[#This Row],[Total Price]]*Table1[[#This Row],[Discount]]</f>
        <v>25521.84</v>
      </c>
      <c r="O841">
        <f>Table1[[#This Row],[Total Price]]-Table1[[#This Row],[Discount Amount]]</f>
        <v>80819.16</v>
      </c>
    </row>
    <row r="842" spans="1:15" x14ac:dyDescent="0.3">
      <c r="A842" t="s">
        <v>2555</v>
      </c>
      <c r="B842" s="1">
        <v>45305</v>
      </c>
      <c r="C842" t="s">
        <v>2556</v>
      </c>
      <c r="D842" t="s">
        <v>31</v>
      </c>
      <c r="E842">
        <v>3</v>
      </c>
      <c r="F842">
        <v>41138</v>
      </c>
      <c r="G842" s="9">
        <v>0.17</v>
      </c>
      <c r="H842" t="s">
        <v>26</v>
      </c>
      <c r="I842" t="s">
        <v>2557</v>
      </c>
      <c r="J842" s="13" t="s">
        <v>37</v>
      </c>
      <c r="K842">
        <v>7</v>
      </c>
      <c r="L842" t="s">
        <v>22</v>
      </c>
      <c r="M842">
        <f>Table1[[#This Row],[UnitPrice]]*Table1[[#This Row],[Quantity]]</f>
        <v>123414</v>
      </c>
      <c r="N842">
        <f>Table1[[#This Row],[Total Price]]*Table1[[#This Row],[Discount]]</f>
        <v>20980.38</v>
      </c>
      <c r="O842">
        <f>Table1[[#This Row],[Total Price]]-Table1[[#This Row],[Discount Amount]]</f>
        <v>102433.62</v>
      </c>
    </row>
    <row r="843" spans="1:15" x14ac:dyDescent="0.3">
      <c r="A843" t="s">
        <v>2558</v>
      </c>
      <c r="B843" s="1">
        <v>45554</v>
      </c>
      <c r="C843" t="s">
        <v>2559</v>
      </c>
      <c r="D843" t="s">
        <v>36</v>
      </c>
      <c r="E843">
        <v>3</v>
      </c>
      <c r="F843">
        <v>7115</v>
      </c>
      <c r="G843" s="9">
        <v>0.08</v>
      </c>
      <c r="H843" t="s">
        <v>26</v>
      </c>
      <c r="I843" t="s">
        <v>2560</v>
      </c>
      <c r="J843" s="14" t="s">
        <v>37</v>
      </c>
      <c r="K843">
        <v>5</v>
      </c>
      <c r="L843" t="s">
        <v>33</v>
      </c>
      <c r="M843">
        <f>Table1[[#This Row],[UnitPrice]]*Table1[[#This Row],[Quantity]]</f>
        <v>21345</v>
      </c>
      <c r="N843">
        <f>Table1[[#This Row],[Total Price]]*Table1[[#This Row],[Discount]]</f>
        <v>1707.6000000000001</v>
      </c>
      <c r="O843">
        <f>Table1[[#This Row],[Total Price]]-Table1[[#This Row],[Discount Amount]]</f>
        <v>19637.400000000001</v>
      </c>
    </row>
    <row r="844" spans="1:15" x14ac:dyDescent="0.3">
      <c r="A844" t="s">
        <v>2561</v>
      </c>
      <c r="B844" s="1">
        <v>45784</v>
      </c>
      <c r="C844" t="s">
        <v>2562</v>
      </c>
      <c r="D844" t="s">
        <v>44</v>
      </c>
      <c r="E844">
        <v>2</v>
      </c>
      <c r="F844">
        <v>72384</v>
      </c>
      <c r="G844" s="9">
        <v>0.01</v>
      </c>
      <c r="H844" t="s">
        <v>20</v>
      </c>
      <c r="I844" t="s">
        <v>2563</v>
      </c>
      <c r="J844" s="13" t="s">
        <v>73</v>
      </c>
      <c r="K844">
        <v>7</v>
      </c>
      <c r="L844" t="s">
        <v>22</v>
      </c>
      <c r="M844">
        <f>Table1[[#This Row],[UnitPrice]]*Table1[[#This Row],[Quantity]]</f>
        <v>144768</v>
      </c>
      <c r="N844">
        <f>Table1[[#This Row],[Total Price]]*Table1[[#This Row],[Discount]]</f>
        <v>1447.68</v>
      </c>
      <c r="O844">
        <f>Table1[[#This Row],[Total Price]]-Table1[[#This Row],[Discount Amount]]</f>
        <v>143320.32000000001</v>
      </c>
    </row>
    <row r="845" spans="1:15" x14ac:dyDescent="0.3">
      <c r="A845" t="s">
        <v>2564</v>
      </c>
      <c r="B845" s="1">
        <v>45790</v>
      </c>
      <c r="C845" t="s">
        <v>2565</v>
      </c>
      <c r="D845" t="s">
        <v>58</v>
      </c>
      <c r="E845">
        <v>2</v>
      </c>
      <c r="F845">
        <v>4985</v>
      </c>
      <c r="G845" s="9">
        <v>0.34</v>
      </c>
      <c r="H845" t="s">
        <v>45</v>
      </c>
      <c r="I845" t="s">
        <v>2566</v>
      </c>
      <c r="J845" s="14" t="s">
        <v>73</v>
      </c>
      <c r="K845">
        <v>8</v>
      </c>
      <c r="L845" t="s">
        <v>16</v>
      </c>
      <c r="M845">
        <f>Table1[[#This Row],[UnitPrice]]*Table1[[#This Row],[Quantity]]</f>
        <v>9970</v>
      </c>
      <c r="N845">
        <f>Table1[[#This Row],[Total Price]]*Table1[[#This Row],[Discount]]</f>
        <v>3389.8</v>
      </c>
      <c r="O845">
        <f>Table1[[#This Row],[Total Price]]-Table1[[#This Row],[Discount Amount]]</f>
        <v>6580.2</v>
      </c>
    </row>
    <row r="846" spans="1:15" x14ac:dyDescent="0.3">
      <c r="A846" t="s">
        <v>2567</v>
      </c>
      <c r="B846" s="1">
        <v>45630</v>
      </c>
      <c r="C846" t="s">
        <v>2568</v>
      </c>
      <c r="D846" t="s">
        <v>31</v>
      </c>
      <c r="E846">
        <v>1</v>
      </c>
      <c r="F846">
        <v>42780</v>
      </c>
      <c r="G846" s="9">
        <v>0.02</v>
      </c>
      <c r="H846" t="s">
        <v>20</v>
      </c>
      <c r="I846" t="s">
        <v>2569</v>
      </c>
      <c r="J846" s="13" t="s">
        <v>14</v>
      </c>
      <c r="K846">
        <v>5</v>
      </c>
      <c r="L846" t="s">
        <v>33</v>
      </c>
      <c r="M846">
        <f>Table1[[#This Row],[UnitPrice]]*Table1[[#This Row],[Quantity]]</f>
        <v>42780</v>
      </c>
      <c r="N846">
        <f>Table1[[#This Row],[Total Price]]*Table1[[#This Row],[Discount]]</f>
        <v>855.6</v>
      </c>
      <c r="O846">
        <f>Table1[[#This Row],[Total Price]]-Table1[[#This Row],[Discount Amount]]</f>
        <v>41924.400000000001</v>
      </c>
    </row>
    <row r="847" spans="1:15" x14ac:dyDescent="0.3">
      <c r="A847" t="s">
        <v>2570</v>
      </c>
      <c r="B847" s="1">
        <v>45207</v>
      </c>
      <c r="C847" t="s">
        <v>2571</v>
      </c>
      <c r="D847" t="s">
        <v>19</v>
      </c>
      <c r="E847">
        <v>1</v>
      </c>
      <c r="F847">
        <v>38831</v>
      </c>
      <c r="G847" s="9">
        <v>0.46</v>
      </c>
      <c r="H847" t="s">
        <v>45</v>
      </c>
      <c r="I847" t="s">
        <v>2572</v>
      </c>
      <c r="J847" s="14" t="s">
        <v>37</v>
      </c>
      <c r="K847">
        <v>5</v>
      </c>
      <c r="L847" t="s">
        <v>60</v>
      </c>
      <c r="M847">
        <f>Table1[[#This Row],[UnitPrice]]*Table1[[#This Row],[Quantity]]</f>
        <v>38831</v>
      </c>
      <c r="N847">
        <f>Table1[[#This Row],[Total Price]]*Table1[[#This Row],[Discount]]</f>
        <v>17862.260000000002</v>
      </c>
      <c r="O847">
        <f>Table1[[#This Row],[Total Price]]-Table1[[#This Row],[Discount Amount]]</f>
        <v>20968.739999999998</v>
      </c>
    </row>
    <row r="848" spans="1:15" x14ac:dyDescent="0.3">
      <c r="A848" t="s">
        <v>2573</v>
      </c>
      <c r="B848" s="1">
        <v>45477</v>
      </c>
      <c r="C848" t="s">
        <v>2574</v>
      </c>
      <c r="D848" t="s">
        <v>58</v>
      </c>
      <c r="E848">
        <v>2</v>
      </c>
      <c r="F848">
        <v>7871</v>
      </c>
      <c r="G848" s="9">
        <v>0.3</v>
      </c>
      <c r="H848" t="s">
        <v>13</v>
      </c>
      <c r="I848" t="s">
        <v>2575</v>
      </c>
      <c r="J848" s="13" t="s">
        <v>37</v>
      </c>
      <c r="K848">
        <v>4</v>
      </c>
      <c r="L848" t="s">
        <v>22</v>
      </c>
      <c r="M848">
        <f>Table1[[#This Row],[UnitPrice]]*Table1[[#This Row],[Quantity]]</f>
        <v>15742</v>
      </c>
      <c r="N848">
        <f>Table1[[#This Row],[Total Price]]*Table1[[#This Row],[Discount]]</f>
        <v>4722.5999999999995</v>
      </c>
      <c r="O848">
        <f>Table1[[#This Row],[Total Price]]-Table1[[#This Row],[Discount Amount]]</f>
        <v>11019.400000000001</v>
      </c>
    </row>
    <row r="849" spans="1:15" x14ac:dyDescent="0.3">
      <c r="A849" t="s">
        <v>2576</v>
      </c>
      <c r="B849" s="1">
        <v>45614</v>
      </c>
      <c r="C849" t="s">
        <v>2577</v>
      </c>
      <c r="D849" t="s">
        <v>36</v>
      </c>
      <c r="E849">
        <v>1</v>
      </c>
      <c r="F849">
        <v>8065</v>
      </c>
      <c r="G849" s="9">
        <v>0.18</v>
      </c>
      <c r="H849" t="s">
        <v>20</v>
      </c>
      <c r="I849" t="s">
        <v>2578</v>
      </c>
      <c r="J849" s="14" t="s">
        <v>14</v>
      </c>
      <c r="K849">
        <v>8</v>
      </c>
      <c r="L849" t="s">
        <v>28</v>
      </c>
      <c r="M849">
        <f>Table1[[#This Row],[UnitPrice]]*Table1[[#This Row],[Quantity]]</f>
        <v>8065</v>
      </c>
      <c r="N849">
        <f>Table1[[#This Row],[Total Price]]*Table1[[#This Row],[Discount]]</f>
        <v>1451.7</v>
      </c>
      <c r="O849">
        <f>Table1[[#This Row],[Total Price]]-Table1[[#This Row],[Discount Amount]]</f>
        <v>6613.3</v>
      </c>
    </row>
    <row r="850" spans="1:15" x14ac:dyDescent="0.3">
      <c r="A850" t="s">
        <v>2579</v>
      </c>
      <c r="B850" s="1">
        <v>44927</v>
      </c>
      <c r="C850" t="s">
        <v>2580</v>
      </c>
      <c r="D850" t="s">
        <v>31</v>
      </c>
      <c r="E850">
        <v>2</v>
      </c>
      <c r="F850">
        <v>25972</v>
      </c>
      <c r="G850" s="9">
        <v>0.02</v>
      </c>
      <c r="H850" t="s">
        <v>20</v>
      </c>
      <c r="I850" t="s">
        <v>2581</v>
      </c>
      <c r="J850" s="13" t="s">
        <v>14</v>
      </c>
      <c r="K850">
        <v>5</v>
      </c>
      <c r="L850" t="s">
        <v>22</v>
      </c>
      <c r="M850">
        <f>Table1[[#This Row],[UnitPrice]]*Table1[[#This Row],[Quantity]]</f>
        <v>51944</v>
      </c>
      <c r="N850">
        <f>Table1[[#This Row],[Total Price]]*Table1[[#This Row],[Discount]]</f>
        <v>1038.8800000000001</v>
      </c>
      <c r="O850">
        <f>Table1[[#This Row],[Total Price]]-Table1[[#This Row],[Discount Amount]]</f>
        <v>50905.120000000003</v>
      </c>
    </row>
    <row r="851" spans="1:15" x14ac:dyDescent="0.3">
      <c r="A851" t="s">
        <v>2582</v>
      </c>
      <c r="B851" s="1">
        <v>45817</v>
      </c>
      <c r="C851" t="s">
        <v>2583</v>
      </c>
      <c r="D851" t="s">
        <v>36</v>
      </c>
      <c r="E851">
        <v>1</v>
      </c>
      <c r="F851">
        <v>9180</v>
      </c>
      <c r="G851" s="9">
        <v>0.21</v>
      </c>
      <c r="H851" t="s">
        <v>13</v>
      </c>
      <c r="I851" t="s">
        <v>2584</v>
      </c>
      <c r="J851" s="14" t="s">
        <v>73</v>
      </c>
      <c r="K851">
        <v>7</v>
      </c>
      <c r="L851" t="s">
        <v>22</v>
      </c>
      <c r="M851">
        <f>Table1[[#This Row],[UnitPrice]]*Table1[[#This Row],[Quantity]]</f>
        <v>9180</v>
      </c>
      <c r="N851">
        <f>Table1[[#This Row],[Total Price]]*Table1[[#This Row],[Discount]]</f>
        <v>1927.8</v>
      </c>
      <c r="O851">
        <f>Table1[[#This Row],[Total Price]]-Table1[[#This Row],[Discount Amount]]</f>
        <v>7252.2</v>
      </c>
    </row>
    <row r="852" spans="1:15" x14ac:dyDescent="0.3">
      <c r="A852" t="s">
        <v>2585</v>
      </c>
      <c r="B852" s="1">
        <v>45774</v>
      </c>
      <c r="C852" t="s">
        <v>2586</v>
      </c>
      <c r="D852" t="s">
        <v>12</v>
      </c>
      <c r="E852">
        <v>2</v>
      </c>
      <c r="F852">
        <v>8297</v>
      </c>
      <c r="G852" s="9">
        <v>0.43</v>
      </c>
      <c r="H852" t="s">
        <v>13</v>
      </c>
      <c r="I852" t="s">
        <v>2587</v>
      </c>
      <c r="J852" s="13" t="s">
        <v>37</v>
      </c>
      <c r="K852">
        <v>4</v>
      </c>
      <c r="L852" t="s">
        <v>16</v>
      </c>
      <c r="M852">
        <f>Table1[[#This Row],[UnitPrice]]*Table1[[#This Row],[Quantity]]</f>
        <v>16594</v>
      </c>
      <c r="N852">
        <f>Table1[[#This Row],[Total Price]]*Table1[[#This Row],[Discount]]</f>
        <v>7135.42</v>
      </c>
      <c r="O852">
        <f>Table1[[#This Row],[Total Price]]-Table1[[#This Row],[Discount Amount]]</f>
        <v>9458.58</v>
      </c>
    </row>
    <row r="853" spans="1:15" x14ac:dyDescent="0.3">
      <c r="A853" t="s">
        <v>2588</v>
      </c>
      <c r="B853" s="1">
        <v>45272</v>
      </c>
      <c r="C853" t="s">
        <v>2589</v>
      </c>
      <c r="D853" t="s">
        <v>44</v>
      </c>
      <c r="E853">
        <v>1</v>
      </c>
      <c r="F853">
        <v>40032</v>
      </c>
      <c r="G853" s="9">
        <v>0.48</v>
      </c>
      <c r="H853" t="s">
        <v>20</v>
      </c>
      <c r="I853" t="s">
        <v>2590</v>
      </c>
      <c r="J853" s="14" t="s">
        <v>14</v>
      </c>
      <c r="K853">
        <v>5</v>
      </c>
      <c r="L853" t="s">
        <v>28</v>
      </c>
      <c r="M853">
        <f>Table1[[#This Row],[UnitPrice]]*Table1[[#This Row],[Quantity]]</f>
        <v>40032</v>
      </c>
      <c r="N853">
        <f>Table1[[#This Row],[Total Price]]*Table1[[#This Row],[Discount]]</f>
        <v>19215.36</v>
      </c>
      <c r="O853">
        <f>Table1[[#This Row],[Total Price]]-Table1[[#This Row],[Discount Amount]]</f>
        <v>20816.64</v>
      </c>
    </row>
    <row r="854" spans="1:15" x14ac:dyDescent="0.3">
      <c r="A854" t="s">
        <v>2591</v>
      </c>
      <c r="B854" s="1">
        <v>45589</v>
      </c>
      <c r="C854" t="s">
        <v>2592</v>
      </c>
      <c r="D854" t="s">
        <v>58</v>
      </c>
      <c r="E854">
        <v>1</v>
      </c>
      <c r="F854">
        <v>6135</v>
      </c>
      <c r="G854" s="9">
        <v>0.04</v>
      </c>
      <c r="H854" t="s">
        <v>45</v>
      </c>
      <c r="I854" t="s">
        <v>2593</v>
      </c>
      <c r="J854" s="13" t="s">
        <v>73</v>
      </c>
      <c r="K854">
        <v>6</v>
      </c>
      <c r="L854" t="s">
        <v>60</v>
      </c>
      <c r="M854">
        <f>Table1[[#This Row],[UnitPrice]]*Table1[[#This Row],[Quantity]]</f>
        <v>6135</v>
      </c>
      <c r="N854">
        <f>Table1[[#This Row],[Total Price]]*Table1[[#This Row],[Discount]]</f>
        <v>245.4</v>
      </c>
      <c r="O854">
        <f>Table1[[#This Row],[Total Price]]-Table1[[#This Row],[Discount Amount]]</f>
        <v>5889.6</v>
      </c>
    </row>
    <row r="855" spans="1:15" x14ac:dyDescent="0.3">
      <c r="A855" t="s">
        <v>2594</v>
      </c>
      <c r="B855" s="1">
        <v>45215</v>
      </c>
      <c r="C855" t="s">
        <v>2595</v>
      </c>
      <c r="D855" t="s">
        <v>36</v>
      </c>
      <c r="E855">
        <v>1</v>
      </c>
      <c r="F855">
        <v>8688</v>
      </c>
      <c r="G855" s="9">
        <v>0.39</v>
      </c>
      <c r="H855" t="s">
        <v>50</v>
      </c>
      <c r="I855" t="s">
        <v>2596</v>
      </c>
      <c r="J855" s="14" t="s">
        <v>37</v>
      </c>
      <c r="K855">
        <v>4</v>
      </c>
      <c r="L855" t="s">
        <v>33</v>
      </c>
      <c r="M855">
        <f>Table1[[#This Row],[UnitPrice]]*Table1[[#This Row],[Quantity]]</f>
        <v>8688</v>
      </c>
      <c r="N855">
        <f>Table1[[#This Row],[Total Price]]*Table1[[#This Row],[Discount]]</f>
        <v>3388.32</v>
      </c>
      <c r="O855">
        <f>Table1[[#This Row],[Total Price]]-Table1[[#This Row],[Discount Amount]]</f>
        <v>5299.68</v>
      </c>
    </row>
    <row r="856" spans="1:15" x14ac:dyDescent="0.3">
      <c r="A856" t="s">
        <v>2597</v>
      </c>
      <c r="B856" s="1">
        <v>45821</v>
      </c>
      <c r="C856" t="s">
        <v>2598</v>
      </c>
      <c r="D856" t="s">
        <v>44</v>
      </c>
      <c r="E856">
        <v>2</v>
      </c>
      <c r="F856">
        <v>23238</v>
      </c>
      <c r="G856" s="9">
        <v>0.13</v>
      </c>
      <c r="H856" t="s">
        <v>26</v>
      </c>
      <c r="I856" t="s">
        <v>2599</v>
      </c>
      <c r="J856" s="13" t="s">
        <v>37</v>
      </c>
      <c r="K856">
        <v>7</v>
      </c>
      <c r="L856" t="s">
        <v>22</v>
      </c>
      <c r="M856">
        <f>Table1[[#This Row],[UnitPrice]]*Table1[[#This Row],[Quantity]]</f>
        <v>46476</v>
      </c>
      <c r="N856">
        <f>Table1[[#This Row],[Total Price]]*Table1[[#This Row],[Discount]]</f>
        <v>6041.88</v>
      </c>
      <c r="O856">
        <f>Table1[[#This Row],[Total Price]]-Table1[[#This Row],[Discount Amount]]</f>
        <v>40434.120000000003</v>
      </c>
    </row>
    <row r="857" spans="1:15" x14ac:dyDescent="0.3">
      <c r="A857" t="s">
        <v>2600</v>
      </c>
      <c r="B857" s="1">
        <v>45071</v>
      </c>
      <c r="C857" t="s">
        <v>2601</v>
      </c>
      <c r="D857" t="s">
        <v>12</v>
      </c>
      <c r="E857">
        <v>2</v>
      </c>
      <c r="F857">
        <v>2792</v>
      </c>
      <c r="G857" s="9">
        <v>0.19</v>
      </c>
      <c r="H857" t="s">
        <v>26</v>
      </c>
      <c r="I857" t="s">
        <v>2602</v>
      </c>
      <c r="J857" s="14" t="s">
        <v>14</v>
      </c>
      <c r="K857">
        <v>10</v>
      </c>
      <c r="L857" t="s">
        <v>28</v>
      </c>
      <c r="M857">
        <f>Table1[[#This Row],[UnitPrice]]*Table1[[#This Row],[Quantity]]</f>
        <v>5584</v>
      </c>
      <c r="N857">
        <f>Table1[[#This Row],[Total Price]]*Table1[[#This Row],[Discount]]</f>
        <v>1060.96</v>
      </c>
      <c r="O857">
        <f>Table1[[#This Row],[Total Price]]-Table1[[#This Row],[Discount Amount]]</f>
        <v>4523.04</v>
      </c>
    </row>
    <row r="858" spans="1:15" x14ac:dyDescent="0.3">
      <c r="A858" t="s">
        <v>2603</v>
      </c>
      <c r="B858" s="1">
        <v>45446</v>
      </c>
      <c r="C858" t="s">
        <v>2604</v>
      </c>
      <c r="D858" t="s">
        <v>19</v>
      </c>
      <c r="E858">
        <v>2</v>
      </c>
      <c r="F858">
        <v>35138</v>
      </c>
      <c r="G858" s="9">
        <v>0.27</v>
      </c>
      <c r="H858" t="s">
        <v>13</v>
      </c>
      <c r="I858" t="s">
        <v>2605</v>
      </c>
      <c r="J858" s="13" t="s">
        <v>14</v>
      </c>
      <c r="K858">
        <v>5</v>
      </c>
      <c r="L858" t="s">
        <v>33</v>
      </c>
      <c r="M858">
        <f>Table1[[#This Row],[UnitPrice]]*Table1[[#This Row],[Quantity]]</f>
        <v>70276</v>
      </c>
      <c r="N858">
        <f>Table1[[#This Row],[Total Price]]*Table1[[#This Row],[Discount]]</f>
        <v>18974.52</v>
      </c>
      <c r="O858">
        <f>Table1[[#This Row],[Total Price]]-Table1[[#This Row],[Discount Amount]]</f>
        <v>51301.479999999996</v>
      </c>
    </row>
    <row r="859" spans="1:15" x14ac:dyDescent="0.3">
      <c r="A859" t="s">
        <v>2606</v>
      </c>
      <c r="B859" s="1">
        <v>45361</v>
      </c>
      <c r="C859" t="s">
        <v>2607</v>
      </c>
      <c r="D859" t="s">
        <v>19</v>
      </c>
      <c r="E859">
        <v>3</v>
      </c>
      <c r="F859">
        <v>45690</v>
      </c>
      <c r="G859" s="9">
        <v>0.5</v>
      </c>
      <c r="H859" t="s">
        <v>20</v>
      </c>
      <c r="I859" t="s">
        <v>2608</v>
      </c>
      <c r="J859" s="14" t="s">
        <v>37</v>
      </c>
      <c r="K859">
        <v>4</v>
      </c>
      <c r="L859" t="s">
        <v>16</v>
      </c>
      <c r="M859">
        <f>Table1[[#This Row],[UnitPrice]]*Table1[[#This Row],[Quantity]]</f>
        <v>137070</v>
      </c>
      <c r="N859">
        <f>Table1[[#This Row],[Total Price]]*Table1[[#This Row],[Discount]]</f>
        <v>68535</v>
      </c>
      <c r="O859">
        <f>Table1[[#This Row],[Total Price]]-Table1[[#This Row],[Discount Amount]]</f>
        <v>68535</v>
      </c>
    </row>
    <row r="860" spans="1:15" x14ac:dyDescent="0.3">
      <c r="A860" t="s">
        <v>2609</v>
      </c>
      <c r="B860" s="1">
        <v>45158</v>
      </c>
      <c r="C860" t="s">
        <v>2610</v>
      </c>
      <c r="D860" t="s">
        <v>25</v>
      </c>
      <c r="E860">
        <v>3</v>
      </c>
      <c r="F860">
        <v>4074</v>
      </c>
      <c r="G860" s="9">
        <v>0.1</v>
      </c>
      <c r="H860" t="s">
        <v>20</v>
      </c>
      <c r="I860" t="s">
        <v>2611</v>
      </c>
      <c r="J860" s="13" t="s">
        <v>73</v>
      </c>
      <c r="K860">
        <v>9</v>
      </c>
      <c r="L860" t="s">
        <v>33</v>
      </c>
      <c r="M860">
        <f>Table1[[#This Row],[UnitPrice]]*Table1[[#This Row],[Quantity]]</f>
        <v>12222</v>
      </c>
      <c r="N860">
        <f>Table1[[#This Row],[Total Price]]*Table1[[#This Row],[Discount]]</f>
        <v>1222.2</v>
      </c>
      <c r="O860">
        <f>Table1[[#This Row],[Total Price]]-Table1[[#This Row],[Discount Amount]]</f>
        <v>10999.8</v>
      </c>
    </row>
    <row r="861" spans="1:15" x14ac:dyDescent="0.3">
      <c r="A861" t="s">
        <v>2612</v>
      </c>
      <c r="B861" s="1">
        <v>45532</v>
      </c>
      <c r="C861" t="s">
        <v>2613</v>
      </c>
      <c r="D861" t="s">
        <v>31</v>
      </c>
      <c r="E861">
        <v>2</v>
      </c>
      <c r="F861">
        <v>46205</v>
      </c>
      <c r="G861" s="9">
        <v>7.0000000000000007E-2</v>
      </c>
      <c r="H861" t="s">
        <v>26</v>
      </c>
      <c r="I861" t="s">
        <v>2614</v>
      </c>
      <c r="J861" s="14" t="s">
        <v>14</v>
      </c>
      <c r="K861">
        <v>5</v>
      </c>
      <c r="L861" t="s">
        <v>22</v>
      </c>
      <c r="M861">
        <f>Table1[[#This Row],[UnitPrice]]*Table1[[#This Row],[Quantity]]</f>
        <v>92410</v>
      </c>
      <c r="N861">
        <f>Table1[[#This Row],[Total Price]]*Table1[[#This Row],[Discount]]</f>
        <v>6468.7000000000007</v>
      </c>
      <c r="O861">
        <f>Table1[[#This Row],[Total Price]]-Table1[[#This Row],[Discount Amount]]</f>
        <v>85941.3</v>
      </c>
    </row>
    <row r="862" spans="1:15" x14ac:dyDescent="0.3">
      <c r="A862" t="s">
        <v>2615</v>
      </c>
      <c r="B862" s="1">
        <v>45314</v>
      </c>
      <c r="C862" t="s">
        <v>2616</v>
      </c>
      <c r="D862" t="s">
        <v>36</v>
      </c>
      <c r="E862">
        <v>2</v>
      </c>
      <c r="F862">
        <v>9022</v>
      </c>
      <c r="G862" s="9">
        <v>0.3</v>
      </c>
      <c r="H862" t="s">
        <v>50</v>
      </c>
      <c r="I862" t="s">
        <v>2617</v>
      </c>
      <c r="J862" s="13" t="s">
        <v>37</v>
      </c>
      <c r="K862">
        <v>1</v>
      </c>
      <c r="L862" t="s">
        <v>60</v>
      </c>
      <c r="M862">
        <f>Table1[[#This Row],[UnitPrice]]*Table1[[#This Row],[Quantity]]</f>
        <v>18044</v>
      </c>
      <c r="N862">
        <f>Table1[[#This Row],[Total Price]]*Table1[[#This Row],[Discount]]</f>
        <v>5413.2</v>
      </c>
      <c r="O862">
        <f>Table1[[#This Row],[Total Price]]-Table1[[#This Row],[Discount Amount]]</f>
        <v>12630.8</v>
      </c>
    </row>
    <row r="863" spans="1:15" x14ac:dyDescent="0.3">
      <c r="A863" t="s">
        <v>2618</v>
      </c>
      <c r="B863" s="1">
        <v>45004</v>
      </c>
      <c r="C863" t="s">
        <v>2619</v>
      </c>
      <c r="D863" t="s">
        <v>58</v>
      </c>
      <c r="E863">
        <v>1</v>
      </c>
      <c r="F863">
        <v>4161</v>
      </c>
      <c r="G863" s="9">
        <v>0.43</v>
      </c>
      <c r="H863" t="s">
        <v>45</v>
      </c>
      <c r="I863" t="s">
        <v>2620</v>
      </c>
      <c r="J863" s="14" t="s">
        <v>14</v>
      </c>
      <c r="K863">
        <v>10</v>
      </c>
      <c r="L863" t="s">
        <v>60</v>
      </c>
      <c r="M863">
        <f>Table1[[#This Row],[UnitPrice]]*Table1[[#This Row],[Quantity]]</f>
        <v>4161</v>
      </c>
      <c r="N863">
        <f>Table1[[#This Row],[Total Price]]*Table1[[#This Row],[Discount]]</f>
        <v>1789.23</v>
      </c>
      <c r="O863">
        <f>Table1[[#This Row],[Total Price]]-Table1[[#This Row],[Discount Amount]]</f>
        <v>2371.77</v>
      </c>
    </row>
    <row r="864" spans="1:15" x14ac:dyDescent="0.3">
      <c r="A864" t="s">
        <v>2621</v>
      </c>
      <c r="B864" s="1">
        <v>45262</v>
      </c>
      <c r="C864" t="s">
        <v>2622</v>
      </c>
      <c r="D864" t="s">
        <v>58</v>
      </c>
      <c r="E864">
        <v>2</v>
      </c>
      <c r="F864">
        <v>7623</v>
      </c>
      <c r="G864" s="9">
        <v>0.32</v>
      </c>
      <c r="H864" t="s">
        <v>26</v>
      </c>
      <c r="I864" t="s">
        <v>2623</v>
      </c>
      <c r="J864" s="13" t="s">
        <v>14</v>
      </c>
      <c r="K864">
        <v>5</v>
      </c>
      <c r="L864" t="s">
        <v>22</v>
      </c>
      <c r="M864">
        <f>Table1[[#This Row],[UnitPrice]]*Table1[[#This Row],[Quantity]]</f>
        <v>15246</v>
      </c>
      <c r="N864">
        <f>Table1[[#This Row],[Total Price]]*Table1[[#This Row],[Discount]]</f>
        <v>4878.72</v>
      </c>
      <c r="O864">
        <f>Table1[[#This Row],[Total Price]]-Table1[[#This Row],[Discount Amount]]</f>
        <v>10367.279999999999</v>
      </c>
    </row>
    <row r="865" spans="1:15" x14ac:dyDescent="0.3">
      <c r="A865" t="s">
        <v>2624</v>
      </c>
      <c r="B865" s="1">
        <v>45432</v>
      </c>
      <c r="C865" t="s">
        <v>2625</v>
      </c>
      <c r="D865" t="s">
        <v>19</v>
      </c>
      <c r="E865">
        <v>3</v>
      </c>
      <c r="F865">
        <v>16084</v>
      </c>
      <c r="G865" s="9">
        <v>0.17</v>
      </c>
      <c r="H865" t="s">
        <v>26</v>
      </c>
      <c r="I865" t="s">
        <v>2626</v>
      </c>
      <c r="J865" s="14" t="s">
        <v>73</v>
      </c>
      <c r="K865">
        <v>5</v>
      </c>
      <c r="L865" t="s">
        <v>22</v>
      </c>
      <c r="M865">
        <f>Table1[[#This Row],[UnitPrice]]*Table1[[#This Row],[Quantity]]</f>
        <v>48252</v>
      </c>
      <c r="N865">
        <f>Table1[[#This Row],[Total Price]]*Table1[[#This Row],[Discount]]</f>
        <v>8202.84</v>
      </c>
      <c r="O865">
        <f>Table1[[#This Row],[Total Price]]-Table1[[#This Row],[Discount Amount]]</f>
        <v>40049.160000000003</v>
      </c>
    </row>
    <row r="866" spans="1:15" x14ac:dyDescent="0.3">
      <c r="A866" t="s">
        <v>2627</v>
      </c>
      <c r="B866" s="1">
        <v>45049</v>
      </c>
      <c r="C866" t="s">
        <v>2628</v>
      </c>
      <c r="D866" t="s">
        <v>58</v>
      </c>
      <c r="E866">
        <v>1</v>
      </c>
      <c r="F866">
        <v>3711</v>
      </c>
      <c r="G866" s="9">
        <v>0.49</v>
      </c>
      <c r="H866" t="s">
        <v>26</v>
      </c>
      <c r="I866" t="s">
        <v>2629</v>
      </c>
      <c r="J866" s="13" t="s">
        <v>37</v>
      </c>
      <c r="K866">
        <v>4</v>
      </c>
      <c r="L866" t="s">
        <v>33</v>
      </c>
      <c r="M866">
        <f>Table1[[#This Row],[UnitPrice]]*Table1[[#This Row],[Quantity]]</f>
        <v>3711</v>
      </c>
      <c r="N866">
        <f>Table1[[#This Row],[Total Price]]*Table1[[#This Row],[Discount]]</f>
        <v>1818.3899999999999</v>
      </c>
      <c r="O866">
        <f>Table1[[#This Row],[Total Price]]-Table1[[#This Row],[Discount Amount]]</f>
        <v>1892.6100000000001</v>
      </c>
    </row>
    <row r="867" spans="1:15" x14ac:dyDescent="0.3">
      <c r="A867" t="s">
        <v>2630</v>
      </c>
      <c r="B867" s="1">
        <v>45046</v>
      </c>
      <c r="C867" t="s">
        <v>2631</v>
      </c>
      <c r="D867" t="s">
        <v>12</v>
      </c>
      <c r="E867">
        <v>2</v>
      </c>
      <c r="F867">
        <v>1054</v>
      </c>
      <c r="G867" s="9">
        <v>0.5</v>
      </c>
      <c r="H867" t="s">
        <v>50</v>
      </c>
      <c r="I867" t="s">
        <v>2632</v>
      </c>
      <c r="J867" s="14" t="s">
        <v>73</v>
      </c>
      <c r="K867">
        <v>8</v>
      </c>
      <c r="L867" t="s">
        <v>60</v>
      </c>
      <c r="M867">
        <f>Table1[[#This Row],[UnitPrice]]*Table1[[#This Row],[Quantity]]</f>
        <v>2108</v>
      </c>
      <c r="N867">
        <f>Table1[[#This Row],[Total Price]]*Table1[[#This Row],[Discount]]</f>
        <v>1054</v>
      </c>
      <c r="O867">
        <f>Table1[[#This Row],[Total Price]]-Table1[[#This Row],[Discount Amount]]</f>
        <v>1054</v>
      </c>
    </row>
    <row r="868" spans="1:15" x14ac:dyDescent="0.3">
      <c r="A868" t="s">
        <v>2633</v>
      </c>
      <c r="B868" s="1">
        <v>45499</v>
      </c>
      <c r="C868" t="s">
        <v>2634</v>
      </c>
      <c r="D868" t="s">
        <v>58</v>
      </c>
      <c r="E868">
        <v>1</v>
      </c>
      <c r="F868">
        <v>3649</v>
      </c>
      <c r="G868" s="9">
        <v>0.39</v>
      </c>
      <c r="H868" t="s">
        <v>13</v>
      </c>
      <c r="I868" t="s">
        <v>2635</v>
      </c>
      <c r="J868" s="13" t="s">
        <v>73</v>
      </c>
      <c r="K868">
        <v>10</v>
      </c>
      <c r="L868" t="s">
        <v>28</v>
      </c>
      <c r="M868">
        <f>Table1[[#This Row],[UnitPrice]]*Table1[[#This Row],[Quantity]]</f>
        <v>3649</v>
      </c>
      <c r="N868">
        <f>Table1[[#This Row],[Total Price]]*Table1[[#This Row],[Discount]]</f>
        <v>1423.1100000000001</v>
      </c>
      <c r="O868">
        <f>Table1[[#This Row],[Total Price]]-Table1[[#This Row],[Discount Amount]]</f>
        <v>2225.89</v>
      </c>
    </row>
    <row r="869" spans="1:15" x14ac:dyDescent="0.3">
      <c r="A869" t="s">
        <v>2636</v>
      </c>
      <c r="B869" s="1">
        <v>45438</v>
      </c>
      <c r="C869" t="s">
        <v>2637</v>
      </c>
      <c r="D869" t="s">
        <v>36</v>
      </c>
      <c r="E869">
        <v>1</v>
      </c>
      <c r="F869">
        <v>7130</v>
      </c>
      <c r="G869" s="9">
        <v>0.4</v>
      </c>
      <c r="H869" t="s">
        <v>50</v>
      </c>
      <c r="I869" t="s">
        <v>2638</v>
      </c>
      <c r="J869" s="14" t="s">
        <v>37</v>
      </c>
      <c r="K869">
        <v>4</v>
      </c>
      <c r="L869" t="s">
        <v>33</v>
      </c>
      <c r="M869">
        <f>Table1[[#This Row],[UnitPrice]]*Table1[[#This Row],[Quantity]]</f>
        <v>7130</v>
      </c>
      <c r="N869">
        <f>Table1[[#This Row],[Total Price]]*Table1[[#This Row],[Discount]]</f>
        <v>2852</v>
      </c>
      <c r="O869">
        <f>Table1[[#This Row],[Total Price]]-Table1[[#This Row],[Discount Amount]]</f>
        <v>4278</v>
      </c>
    </row>
    <row r="870" spans="1:15" x14ac:dyDescent="0.3">
      <c r="A870" t="s">
        <v>2639</v>
      </c>
      <c r="B870" s="1">
        <v>45472</v>
      </c>
      <c r="C870" t="s">
        <v>2640</v>
      </c>
      <c r="D870" t="s">
        <v>12</v>
      </c>
      <c r="E870">
        <v>3</v>
      </c>
      <c r="F870">
        <v>7534</v>
      </c>
      <c r="G870" s="9">
        <v>0.38</v>
      </c>
      <c r="H870" t="s">
        <v>13</v>
      </c>
      <c r="I870" t="s">
        <v>2641</v>
      </c>
      <c r="J870" s="13" t="s">
        <v>37</v>
      </c>
      <c r="K870">
        <v>7</v>
      </c>
      <c r="L870" t="s">
        <v>33</v>
      </c>
      <c r="M870">
        <f>Table1[[#This Row],[UnitPrice]]*Table1[[#This Row],[Quantity]]</f>
        <v>22602</v>
      </c>
      <c r="N870">
        <f>Table1[[#This Row],[Total Price]]*Table1[[#This Row],[Discount]]</f>
        <v>8588.76</v>
      </c>
      <c r="O870">
        <f>Table1[[#This Row],[Total Price]]-Table1[[#This Row],[Discount Amount]]</f>
        <v>14013.24</v>
      </c>
    </row>
    <row r="871" spans="1:15" x14ac:dyDescent="0.3">
      <c r="A871" t="s">
        <v>2642</v>
      </c>
      <c r="B871" s="1">
        <v>45368</v>
      </c>
      <c r="C871" t="s">
        <v>2643</v>
      </c>
      <c r="D871" t="s">
        <v>58</v>
      </c>
      <c r="E871">
        <v>2</v>
      </c>
      <c r="F871">
        <v>9828</v>
      </c>
      <c r="G871" s="9">
        <v>0.13</v>
      </c>
      <c r="H871" t="s">
        <v>20</v>
      </c>
      <c r="I871" t="s">
        <v>2644</v>
      </c>
      <c r="J871" s="14" t="s">
        <v>37</v>
      </c>
      <c r="K871">
        <v>5</v>
      </c>
      <c r="L871" t="s">
        <v>60</v>
      </c>
      <c r="M871">
        <f>Table1[[#This Row],[UnitPrice]]*Table1[[#This Row],[Quantity]]</f>
        <v>19656</v>
      </c>
      <c r="N871">
        <f>Table1[[#This Row],[Total Price]]*Table1[[#This Row],[Discount]]</f>
        <v>2555.2800000000002</v>
      </c>
      <c r="O871">
        <f>Table1[[#This Row],[Total Price]]-Table1[[#This Row],[Discount Amount]]</f>
        <v>17100.72</v>
      </c>
    </row>
    <row r="872" spans="1:15" x14ac:dyDescent="0.3">
      <c r="A872" t="s">
        <v>2645</v>
      </c>
      <c r="B872" s="1">
        <v>45809</v>
      </c>
      <c r="C872" t="s">
        <v>2646</v>
      </c>
      <c r="D872" t="s">
        <v>19</v>
      </c>
      <c r="E872">
        <v>2</v>
      </c>
      <c r="F872">
        <v>31191</v>
      </c>
      <c r="G872" s="9">
        <v>0.08</v>
      </c>
      <c r="H872" t="s">
        <v>13</v>
      </c>
      <c r="I872" t="s">
        <v>2647</v>
      </c>
      <c r="J872" s="13" t="s">
        <v>37</v>
      </c>
      <c r="K872">
        <v>4</v>
      </c>
      <c r="L872" t="s">
        <v>60</v>
      </c>
      <c r="M872">
        <f>Table1[[#This Row],[UnitPrice]]*Table1[[#This Row],[Quantity]]</f>
        <v>62382</v>
      </c>
      <c r="N872">
        <f>Table1[[#This Row],[Total Price]]*Table1[[#This Row],[Discount]]</f>
        <v>4990.5600000000004</v>
      </c>
      <c r="O872">
        <f>Table1[[#This Row],[Total Price]]-Table1[[#This Row],[Discount Amount]]</f>
        <v>57391.44</v>
      </c>
    </row>
    <row r="873" spans="1:15" x14ac:dyDescent="0.3">
      <c r="A873" t="s">
        <v>2648</v>
      </c>
      <c r="B873" s="1">
        <v>45428</v>
      </c>
      <c r="C873" t="s">
        <v>2649</v>
      </c>
      <c r="D873" t="s">
        <v>25</v>
      </c>
      <c r="E873">
        <v>1</v>
      </c>
      <c r="F873">
        <v>9514</v>
      </c>
      <c r="G873" s="9">
        <v>0.28000000000000003</v>
      </c>
      <c r="H873" t="s">
        <v>13</v>
      </c>
      <c r="I873" t="s">
        <v>2650</v>
      </c>
      <c r="J873" s="14" t="s">
        <v>73</v>
      </c>
      <c r="K873">
        <v>8</v>
      </c>
      <c r="L873" t="s">
        <v>28</v>
      </c>
      <c r="M873">
        <f>Table1[[#This Row],[UnitPrice]]*Table1[[#This Row],[Quantity]]</f>
        <v>9514</v>
      </c>
      <c r="N873">
        <f>Table1[[#This Row],[Total Price]]*Table1[[#This Row],[Discount]]</f>
        <v>2663.92</v>
      </c>
      <c r="O873">
        <f>Table1[[#This Row],[Total Price]]-Table1[[#This Row],[Discount Amount]]</f>
        <v>6850.08</v>
      </c>
    </row>
    <row r="874" spans="1:15" x14ac:dyDescent="0.3">
      <c r="A874" t="s">
        <v>2651</v>
      </c>
      <c r="B874" s="1">
        <v>45117</v>
      </c>
      <c r="C874" t="s">
        <v>2652</v>
      </c>
      <c r="D874" t="s">
        <v>31</v>
      </c>
      <c r="E874">
        <v>1</v>
      </c>
      <c r="F874">
        <v>17712</v>
      </c>
      <c r="G874" s="9">
        <v>0.48</v>
      </c>
      <c r="H874" t="s">
        <v>50</v>
      </c>
      <c r="I874" t="s">
        <v>2653</v>
      </c>
      <c r="J874" s="13" t="s">
        <v>14</v>
      </c>
      <c r="K874">
        <v>7</v>
      </c>
      <c r="L874" t="s">
        <v>28</v>
      </c>
      <c r="M874">
        <f>Table1[[#This Row],[UnitPrice]]*Table1[[#This Row],[Quantity]]</f>
        <v>17712</v>
      </c>
      <c r="N874">
        <f>Table1[[#This Row],[Total Price]]*Table1[[#This Row],[Discount]]</f>
        <v>8501.76</v>
      </c>
      <c r="O874">
        <f>Table1[[#This Row],[Total Price]]-Table1[[#This Row],[Discount Amount]]</f>
        <v>9210.24</v>
      </c>
    </row>
    <row r="875" spans="1:15" x14ac:dyDescent="0.3">
      <c r="A875" t="s">
        <v>2654</v>
      </c>
      <c r="B875" s="1">
        <v>45424</v>
      </c>
      <c r="C875" t="s">
        <v>2655</v>
      </c>
      <c r="D875" t="s">
        <v>58</v>
      </c>
      <c r="E875">
        <v>3</v>
      </c>
      <c r="F875">
        <v>3928</v>
      </c>
      <c r="G875" s="9">
        <v>0.44</v>
      </c>
      <c r="H875" t="s">
        <v>50</v>
      </c>
      <c r="I875" t="s">
        <v>2656</v>
      </c>
      <c r="J875" s="14" t="s">
        <v>37</v>
      </c>
      <c r="K875">
        <v>3</v>
      </c>
      <c r="L875" t="s">
        <v>33</v>
      </c>
      <c r="M875">
        <f>Table1[[#This Row],[UnitPrice]]*Table1[[#This Row],[Quantity]]</f>
        <v>11784</v>
      </c>
      <c r="N875">
        <f>Table1[[#This Row],[Total Price]]*Table1[[#This Row],[Discount]]</f>
        <v>5184.96</v>
      </c>
      <c r="O875">
        <f>Table1[[#This Row],[Total Price]]-Table1[[#This Row],[Discount Amount]]</f>
        <v>6599.04</v>
      </c>
    </row>
    <row r="876" spans="1:15" x14ac:dyDescent="0.3">
      <c r="A876" t="s">
        <v>2657</v>
      </c>
      <c r="B876" s="1">
        <v>45230</v>
      </c>
      <c r="C876" t="s">
        <v>2658</v>
      </c>
      <c r="D876" t="s">
        <v>31</v>
      </c>
      <c r="E876">
        <v>1</v>
      </c>
      <c r="F876">
        <v>37226</v>
      </c>
      <c r="G876" s="9">
        <v>0.05</v>
      </c>
      <c r="H876" t="s">
        <v>50</v>
      </c>
      <c r="I876" t="s">
        <v>2659</v>
      </c>
      <c r="J876" s="13" t="s">
        <v>37</v>
      </c>
      <c r="K876">
        <v>7</v>
      </c>
      <c r="L876" t="s">
        <v>33</v>
      </c>
      <c r="M876">
        <f>Table1[[#This Row],[UnitPrice]]*Table1[[#This Row],[Quantity]]</f>
        <v>37226</v>
      </c>
      <c r="N876">
        <f>Table1[[#This Row],[Total Price]]*Table1[[#This Row],[Discount]]</f>
        <v>1861.3000000000002</v>
      </c>
      <c r="O876">
        <f>Table1[[#This Row],[Total Price]]-Table1[[#This Row],[Discount Amount]]</f>
        <v>35364.699999999997</v>
      </c>
    </row>
    <row r="877" spans="1:15" x14ac:dyDescent="0.3">
      <c r="A877" t="s">
        <v>2660</v>
      </c>
      <c r="B877" s="1">
        <v>45141</v>
      </c>
      <c r="C877" t="s">
        <v>2661</v>
      </c>
      <c r="D877" t="s">
        <v>44</v>
      </c>
      <c r="E877">
        <v>2</v>
      </c>
      <c r="F877">
        <v>63659</v>
      </c>
      <c r="G877" s="9">
        <v>0.03</v>
      </c>
      <c r="H877" t="s">
        <v>26</v>
      </c>
      <c r="I877" t="s">
        <v>2662</v>
      </c>
      <c r="J877" s="14" t="s">
        <v>37</v>
      </c>
      <c r="K877">
        <v>6</v>
      </c>
      <c r="L877" t="s">
        <v>22</v>
      </c>
      <c r="M877">
        <f>Table1[[#This Row],[UnitPrice]]*Table1[[#This Row],[Quantity]]</f>
        <v>127318</v>
      </c>
      <c r="N877">
        <f>Table1[[#This Row],[Total Price]]*Table1[[#This Row],[Discount]]</f>
        <v>3819.54</v>
      </c>
      <c r="O877">
        <f>Table1[[#This Row],[Total Price]]-Table1[[#This Row],[Discount Amount]]</f>
        <v>123498.46</v>
      </c>
    </row>
    <row r="878" spans="1:15" x14ac:dyDescent="0.3">
      <c r="A878" t="s">
        <v>2663</v>
      </c>
      <c r="B878" s="1">
        <v>45452</v>
      </c>
      <c r="C878" t="s">
        <v>2664</v>
      </c>
      <c r="D878" t="s">
        <v>31</v>
      </c>
      <c r="E878">
        <v>1</v>
      </c>
      <c r="F878">
        <v>32106</v>
      </c>
      <c r="G878" s="9">
        <v>0.44</v>
      </c>
      <c r="H878" t="s">
        <v>45</v>
      </c>
      <c r="I878" t="s">
        <v>2665</v>
      </c>
      <c r="J878" s="13" t="s">
        <v>73</v>
      </c>
      <c r="K878">
        <v>6</v>
      </c>
      <c r="L878" t="s">
        <v>60</v>
      </c>
      <c r="M878">
        <f>Table1[[#This Row],[UnitPrice]]*Table1[[#This Row],[Quantity]]</f>
        <v>32106</v>
      </c>
      <c r="N878">
        <f>Table1[[#This Row],[Total Price]]*Table1[[#This Row],[Discount]]</f>
        <v>14126.64</v>
      </c>
      <c r="O878">
        <f>Table1[[#This Row],[Total Price]]-Table1[[#This Row],[Discount Amount]]</f>
        <v>17979.36</v>
      </c>
    </row>
    <row r="879" spans="1:15" x14ac:dyDescent="0.3">
      <c r="A879" t="s">
        <v>2666</v>
      </c>
      <c r="B879" s="1">
        <v>45498</v>
      </c>
      <c r="C879" t="s">
        <v>2667</v>
      </c>
      <c r="D879" t="s">
        <v>25</v>
      </c>
      <c r="E879">
        <v>2</v>
      </c>
      <c r="F879">
        <v>4078</v>
      </c>
      <c r="G879" s="9">
        <v>0.31</v>
      </c>
      <c r="H879" t="s">
        <v>13</v>
      </c>
      <c r="I879" t="s">
        <v>2668</v>
      </c>
      <c r="J879" s="14" t="s">
        <v>73</v>
      </c>
      <c r="K879">
        <v>3</v>
      </c>
      <c r="L879" t="s">
        <v>28</v>
      </c>
      <c r="M879">
        <f>Table1[[#This Row],[UnitPrice]]*Table1[[#This Row],[Quantity]]</f>
        <v>8156</v>
      </c>
      <c r="N879">
        <f>Table1[[#This Row],[Total Price]]*Table1[[#This Row],[Discount]]</f>
        <v>2528.36</v>
      </c>
      <c r="O879">
        <f>Table1[[#This Row],[Total Price]]-Table1[[#This Row],[Discount Amount]]</f>
        <v>5627.6399999999994</v>
      </c>
    </row>
    <row r="880" spans="1:15" x14ac:dyDescent="0.3">
      <c r="A880" t="s">
        <v>2669</v>
      </c>
      <c r="B880" s="1">
        <v>45078</v>
      </c>
      <c r="C880" t="s">
        <v>2670</v>
      </c>
      <c r="D880" t="s">
        <v>58</v>
      </c>
      <c r="E880">
        <v>1</v>
      </c>
      <c r="F880">
        <v>2728</v>
      </c>
      <c r="G880" s="9">
        <v>0.15</v>
      </c>
      <c r="H880" t="s">
        <v>20</v>
      </c>
      <c r="I880" t="s">
        <v>2671</v>
      </c>
      <c r="J880" s="13" t="s">
        <v>37</v>
      </c>
      <c r="K880">
        <v>5</v>
      </c>
      <c r="L880" t="s">
        <v>60</v>
      </c>
      <c r="M880">
        <f>Table1[[#This Row],[UnitPrice]]*Table1[[#This Row],[Quantity]]</f>
        <v>2728</v>
      </c>
      <c r="N880">
        <f>Table1[[#This Row],[Total Price]]*Table1[[#This Row],[Discount]]</f>
        <v>409.2</v>
      </c>
      <c r="O880">
        <f>Table1[[#This Row],[Total Price]]-Table1[[#This Row],[Discount Amount]]</f>
        <v>2318.8000000000002</v>
      </c>
    </row>
    <row r="881" spans="1:15" x14ac:dyDescent="0.3">
      <c r="A881" t="s">
        <v>2672</v>
      </c>
      <c r="B881" s="1">
        <v>45755</v>
      </c>
      <c r="C881" t="s">
        <v>2673</v>
      </c>
      <c r="D881" t="s">
        <v>19</v>
      </c>
      <c r="E881">
        <v>1</v>
      </c>
      <c r="F881">
        <v>15050</v>
      </c>
      <c r="G881" s="9">
        <v>0.28000000000000003</v>
      </c>
      <c r="H881" t="s">
        <v>45</v>
      </c>
      <c r="I881" t="s">
        <v>2674</v>
      </c>
      <c r="J881" s="14" t="s">
        <v>14</v>
      </c>
      <c r="K881">
        <v>3</v>
      </c>
      <c r="L881" t="s">
        <v>16</v>
      </c>
      <c r="M881">
        <f>Table1[[#This Row],[UnitPrice]]*Table1[[#This Row],[Quantity]]</f>
        <v>15050</v>
      </c>
      <c r="N881">
        <f>Table1[[#This Row],[Total Price]]*Table1[[#This Row],[Discount]]</f>
        <v>4214</v>
      </c>
      <c r="O881">
        <f>Table1[[#This Row],[Total Price]]-Table1[[#This Row],[Discount Amount]]</f>
        <v>10836</v>
      </c>
    </row>
    <row r="882" spans="1:15" x14ac:dyDescent="0.3">
      <c r="A882" t="s">
        <v>2675</v>
      </c>
      <c r="B882" s="1">
        <v>45728</v>
      </c>
      <c r="C882" t="s">
        <v>2676</v>
      </c>
      <c r="D882" t="s">
        <v>44</v>
      </c>
      <c r="E882">
        <v>1</v>
      </c>
      <c r="F882">
        <v>28615</v>
      </c>
      <c r="G882" s="9">
        <v>0.11</v>
      </c>
      <c r="H882" t="s">
        <v>20</v>
      </c>
      <c r="I882" t="s">
        <v>2677</v>
      </c>
      <c r="J882" s="13" t="s">
        <v>14</v>
      </c>
      <c r="K882">
        <v>8</v>
      </c>
      <c r="L882" t="s">
        <v>33</v>
      </c>
      <c r="M882">
        <f>Table1[[#This Row],[UnitPrice]]*Table1[[#This Row],[Quantity]]</f>
        <v>28615</v>
      </c>
      <c r="N882">
        <f>Table1[[#This Row],[Total Price]]*Table1[[#This Row],[Discount]]</f>
        <v>3147.65</v>
      </c>
      <c r="O882">
        <f>Table1[[#This Row],[Total Price]]-Table1[[#This Row],[Discount Amount]]</f>
        <v>25467.35</v>
      </c>
    </row>
    <row r="883" spans="1:15" x14ac:dyDescent="0.3">
      <c r="A883" t="s">
        <v>2678</v>
      </c>
      <c r="B883" s="1">
        <v>44929</v>
      </c>
      <c r="C883" t="s">
        <v>2679</v>
      </c>
      <c r="D883" t="s">
        <v>25</v>
      </c>
      <c r="E883">
        <v>2</v>
      </c>
      <c r="F883">
        <v>9519</v>
      </c>
      <c r="G883" s="9">
        <v>0.47</v>
      </c>
      <c r="H883" t="s">
        <v>26</v>
      </c>
      <c r="I883" t="s">
        <v>2680</v>
      </c>
      <c r="J883" s="14" t="s">
        <v>73</v>
      </c>
      <c r="K883">
        <v>6</v>
      </c>
      <c r="L883" t="s">
        <v>16</v>
      </c>
      <c r="M883">
        <f>Table1[[#This Row],[UnitPrice]]*Table1[[#This Row],[Quantity]]</f>
        <v>19038</v>
      </c>
      <c r="N883">
        <f>Table1[[#This Row],[Total Price]]*Table1[[#This Row],[Discount]]</f>
        <v>8947.8599999999988</v>
      </c>
      <c r="O883">
        <f>Table1[[#This Row],[Total Price]]-Table1[[#This Row],[Discount Amount]]</f>
        <v>10090.140000000001</v>
      </c>
    </row>
    <row r="884" spans="1:15" x14ac:dyDescent="0.3">
      <c r="A884" t="s">
        <v>2681</v>
      </c>
      <c r="B884" s="1">
        <v>45836</v>
      </c>
      <c r="C884" t="s">
        <v>2682</v>
      </c>
      <c r="D884" t="s">
        <v>19</v>
      </c>
      <c r="E884">
        <v>1</v>
      </c>
      <c r="F884">
        <v>49396</v>
      </c>
      <c r="G884" s="9">
        <v>0.41</v>
      </c>
      <c r="H884" t="s">
        <v>50</v>
      </c>
      <c r="I884" t="s">
        <v>2683</v>
      </c>
      <c r="J884" s="13" t="s">
        <v>37</v>
      </c>
      <c r="K884">
        <v>6</v>
      </c>
      <c r="L884" t="s">
        <v>22</v>
      </c>
      <c r="M884">
        <f>Table1[[#This Row],[UnitPrice]]*Table1[[#This Row],[Quantity]]</f>
        <v>49396</v>
      </c>
      <c r="N884">
        <f>Table1[[#This Row],[Total Price]]*Table1[[#This Row],[Discount]]</f>
        <v>20252.36</v>
      </c>
      <c r="O884">
        <f>Table1[[#This Row],[Total Price]]-Table1[[#This Row],[Discount Amount]]</f>
        <v>29143.64</v>
      </c>
    </row>
    <row r="885" spans="1:15" x14ac:dyDescent="0.3">
      <c r="A885" t="s">
        <v>2684</v>
      </c>
      <c r="B885" s="1">
        <v>45790</v>
      </c>
      <c r="C885" t="s">
        <v>2685</v>
      </c>
      <c r="D885" t="s">
        <v>36</v>
      </c>
      <c r="E885">
        <v>2</v>
      </c>
      <c r="F885">
        <v>6854</v>
      </c>
      <c r="G885" s="9">
        <v>0.48</v>
      </c>
      <c r="H885" t="s">
        <v>20</v>
      </c>
      <c r="I885" t="s">
        <v>2686</v>
      </c>
      <c r="J885" s="14" t="s">
        <v>37</v>
      </c>
      <c r="K885">
        <v>9</v>
      </c>
      <c r="L885" t="s">
        <v>33</v>
      </c>
      <c r="M885">
        <f>Table1[[#This Row],[UnitPrice]]*Table1[[#This Row],[Quantity]]</f>
        <v>13708</v>
      </c>
      <c r="N885">
        <f>Table1[[#This Row],[Total Price]]*Table1[[#This Row],[Discount]]</f>
        <v>6579.84</v>
      </c>
      <c r="O885">
        <f>Table1[[#This Row],[Total Price]]-Table1[[#This Row],[Discount Amount]]</f>
        <v>7128.16</v>
      </c>
    </row>
    <row r="886" spans="1:15" x14ac:dyDescent="0.3">
      <c r="A886" t="s">
        <v>2687</v>
      </c>
      <c r="B886" s="1">
        <v>45427</v>
      </c>
      <c r="C886" t="s">
        <v>2688</v>
      </c>
      <c r="D886" t="s">
        <v>31</v>
      </c>
      <c r="E886">
        <v>1</v>
      </c>
      <c r="F886">
        <v>26517</v>
      </c>
      <c r="G886" s="9">
        <v>0.09</v>
      </c>
      <c r="H886" t="s">
        <v>45</v>
      </c>
      <c r="I886" t="s">
        <v>2689</v>
      </c>
      <c r="J886" s="13" t="s">
        <v>14</v>
      </c>
      <c r="K886">
        <v>4</v>
      </c>
      <c r="L886" t="s">
        <v>16</v>
      </c>
      <c r="M886">
        <f>Table1[[#This Row],[UnitPrice]]*Table1[[#This Row],[Quantity]]</f>
        <v>26517</v>
      </c>
      <c r="N886">
        <f>Table1[[#This Row],[Total Price]]*Table1[[#This Row],[Discount]]</f>
        <v>2386.5299999999997</v>
      </c>
      <c r="O886">
        <f>Table1[[#This Row],[Total Price]]-Table1[[#This Row],[Discount Amount]]</f>
        <v>24130.47</v>
      </c>
    </row>
    <row r="887" spans="1:15" x14ac:dyDescent="0.3">
      <c r="A887" t="s">
        <v>2690</v>
      </c>
      <c r="B887" s="1">
        <v>45389</v>
      </c>
      <c r="C887" t="s">
        <v>2691</v>
      </c>
      <c r="D887" t="s">
        <v>44</v>
      </c>
      <c r="E887">
        <v>2</v>
      </c>
      <c r="F887">
        <v>47415</v>
      </c>
      <c r="G887" s="9">
        <v>0.42</v>
      </c>
      <c r="H887" t="s">
        <v>26</v>
      </c>
      <c r="I887" t="s">
        <v>2692</v>
      </c>
      <c r="J887" s="14" t="s">
        <v>14</v>
      </c>
      <c r="K887">
        <v>7</v>
      </c>
      <c r="L887" t="s">
        <v>60</v>
      </c>
      <c r="M887">
        <f>Table1[[#This Row],[UnitPrice]]*Table1[[#This Row],[Quantity]]</f>
        <v>94830</v>
      </c>
      <c r="N887">
        <f>Table1[[#This Row],[Total Price]]*Table1[[#This Row],[Discount]]</f>
        <v>39828.6</v>
      </c>
      <c r="O887">
        <f>Table1[[#This Row],[Total Price]]-Table1[[#This Row],[Discount Amount]]</f>
        <v>55001.4</v>
      </c>
    </row>
    <row r="888" spans="1:15" x14ac:dyDescent="0.3">
      <c r="A888" t="s">
        <v>2693</v>
      </c>
      <c r="B888" s="1">
        <v>45224</v>
      </c>
      <c r="C888" t="s">
        <v>2694</v>
      </c>
      <c r="D888" t="s">
        <v>19</v>
      </c>
      <c r="E888">
        <v>3</v>
      </c>
      <c r="F888">
        <v>19623</v>
      </c>
      <c r="G888" s="9">
        <v>0.28000000000000003</v>
      </c>
      <c r="H888" t="s">
        <v>26</v>
      </c>
      <c r="I888" t="s">
        <v>2695</v>
      </c>
      <c r="J888" s="13" t="s">
        <v>73</v>
      </c>
      <c r="K888">
        <v>1</v>
      </c>
      <c r="L888" t="s">
        <v>60</v>
      </c>
      <c r="M888">
        <f>Table1[[#This Row],[UnitPrice]]*Table1[[#This Row],[Quantity]]</f>
        <v>58869</v>
      </c>
      <c r="N888">
        <f>Table1[[#This Row],[Total Price]]*Table1[[#This Row],[Discount]]</f>
        <v>16483.320000000003</v>
      </c>
      <c r="O888">
        <f>Table1[[#This Row],[Total Price]]-Table1[[#This Row],[Discount Amount]]</f>
        <v>42385.679999999993</v>
      </c>
    </row>
    <row r="889" spans="1:15" x14ac:dyDescent="0.3">
      <c r="A889" t="s">
        <v>2696</v>
      </c>
      <c r="B889" s="1">
        <v>45645</v>
      </c>
      <c r="C889" t="s">
        <v>2697</v>
      </c>
      <c r="D889" t="s">
        <v>31</v>
      </c>
      <c r="E889">
        <v>2</v>
      </c>
      <c r="F889">
        <v>30649</v>
      </c>
      <c r="G889" s="9">
        <v>0.16</v>
      </c>
      <c r="H889" t="s">
        <v>13</v>
      </c>
      <c r="I889" t="s">
        <v>2698</v>
      </c>
      <c r="J889" s="14" t="s">
        <v>37</v>
      </c>
      <c r="K889">
        <v>7</v>
      </c>
      <c r="L889" t="s">
        <v>60</v>
      </c>
      <c r="M889">
        <f>Table1[[#This Row],[UnitPrice]]*Table1[[#This Row],[Quantity]]</f>
        <v>61298</v>
      </c>
      <c r="N889">
        <f>Table1[[#This Row],[Total Price]]*Table1[[#This Row],[Discount]]</f>
        <v>9807.68</v>
      </c>
      <c r="O889">
        <f>Table1[[#This Row],[Total Price]]-Table1[[#This Row],[Discount Amount]]</f>
        <v>51490.32</v>
      </c>
    </row>
    <row r="890" spans="1:15" x14ac:dyDescent="0.3">
      <c r="A890" t="s">
        <v>2699</v>
      </c>
      <c r="B890" s="1">
        <v>45496</v>
      </c>
      <c r="C890" t="s">
        <v>2700</v>
      </c>
      <c r="D890" t="s">
        <v>44</v>
      </c>
      <c r="E890">
        <v>1</v>
      </c>
      <c r="F890">
        <v>35869</v>
      </c>
      <c r="G890" s="9">
        <v>0.24</v>
      </c>
      <c r="H890" t="s">
        <v>26</v>
      </c>
      <c r="I890" t="s">
        <v>2701</v>
      </c>
      <c r="J890" s="13" t="s">
        <v>73</v>
      </c>
      <c r="K890">
        <v>3</v>
      </c>
      <c r="L890" t="s">
        <v>16</v>
      </c>
      <c r="M890">
        <f>Table1[[#This Row],[UnitPrice]]*Table1[[#This Row],[Quantity]]</f>
        <v>35869</v>
      </c>
      <c r="N890">
        <f>Table1[[#This Row],[Total Price]]*Table1[[#This Row],[Discount]]</f>
        <v>8608.56</v>
      </c>
      <c r="O890">
        <f>Table1[[#This Row],[Total Price]]-Table1[[#This Row],[Discount Amount]]</f>
        <v>27260.440000000002</v>
      </c>
    </row>
    <row r="891" spans="1:15" x14ac:dyDescent="0.3">
      <c r="A891" t="s">
        <v>2702</v>
      </c>
      <c r="B891" s="1">
        <v>45592</v>
      </c>
      <c r="C891" t="s">
        <v>2703</v>
      </c>
      <c r="D891" t="s">
        <v>12</v>
      </c>
      <c r="E891">
        <v>2</v>
      </c>
      <c r="F891">
        <v>1708</v>
      </c>
      <c r="G891" s="9">
        <v>0.47</v>
      </c>
      <c r="H891" t="s">
        <v>26</v>
      </c>
      <c r="I891" t="s">
        <v>2704</v>
      </c>
      <c r="J891" s="14" t="s">
        <v>14</v>
      </c>
      <c r="K891">
        <v>8</v>
      </c>
      <c r="L891" t="s">
        <v>28</v>
      </c>
      <c r="M891">
        <f>Table1[[#This Row],[UnitPrice]]*Table1[[#This Row],[Quantity]]</f>
        <v>3416</v>
      </c>
      <c r="N891">
        <f>Table1[[#This Row],[Total Price]]*Table1[[#This Row],[Discount]]</f>
        <v>1605.52</v>
      </c>
      <c r="O891">
        <f>Table1[[#This Row],[Total Price]]-Table1[[#This Row],[Discount Amount]]</f>
        <v>1810.48</v>
      </c>
    </row>
    <row r="892" spans="1:15" x14ac:dyDescent="0.3">
      <c r="A892" t="s">
        <v>2705</v>
      </c>
      <c r="B892" s="1">
        <v>45149</v>
      </c>
      <c r="C892" t="s">
        <v>2706</v>
      </c>
      <c r="D892" t="s">
        <v>44</v>
      </c>
      <c r="E892">
        <v>2</v>
      </c>
      <c r="F892">
        <v>29083</v>
      </c>
      <c r="G892" s="9">
        <v>0.35</v>
      </c>
      <c r="H892" t="s">
        <v>13</v>
      </c>
      <c r="I892" t="s">
        <v>2707</v>
      </c>
      <c r="J892" s="13" t="s">
        <v>73</v>
      </c>
      <c r="K892">
        <v>5</v>
      </c>
      <c r="L892" t="s">
        <v>60</v>
      </c>
      <c r="M892">
        <f>Table1[[#This Row],[UnitPrice]]*Table1[[#This Row],[Quantity]]</f>
        <v>58166</v>
      </c>
      <c r="N892">
        <f>Table1[[#This Row],[Total Price]]*Table1[[#This Row],[Discount]]</f>
        <v>20358.099999999999</v>
      </c>
      <c r="O892">
        <f>Table1[[#This Row],[Total Price]]-Table1[[#This Row],[Discount Amount]]</f>
        <v>37807.9</v>
      </c>
    </row>
    <row r="893" spans="1:15" x14ac:dyDescent="0.3">
      <c r="A893" t="s">
        <v>2708</v>
      </c>
      <c r="B893" s="1">
        <v>45241</v>
      </c>
      <c r="C893" t="s">
        <v>2709</v>
      </c>
      <c r="D893" t="s">
        <v>12</v>
      </c>
      <c r="E893">
        <v>3</v>
      </c>
      <c r="F893">
        <v>6781</v>
      </c>
      <c r="G893" s="9">
        <v>0.18</v>
      </c>
      <c r="H893" t="s">
        <v>50</v>
      </c>
      <c r="I893" t="s">
        <v>2710</v>
      </c>
      <c r="J893" s="14" t="s">
        <v>14</v>
      </c>
      <c r="K893">
        <v>7</v>
      </c>
      <c r="L893" t="s">
        <v>22</v>
      </c>
      <c r="M893">
        <f>Table1[[#This Row],[UnitPrice]]*Table1[[#This Row],[Quantity]]</f>
        <v>20343</v>
      </c>
      <c r="N893">
        <f>Table1[[#This Row],[Total Price]]*Table1[[#This Row],[Discount]]</f>
        <v>3661.74</v>
      </c>
      <c r="O893">
        <f>Table1[[#This Row],[Total Price]]-Table1[[#This Row],[Discount Amount]]</f>
        <v>16681.260000000002</v>
      </c>
    </row>
    <row r="894" spans="1:15" x14ac:dyDescent="0.3">
      <c r="A894" t="s">
        <v>2711</v>
      </c>
      <c r="B894" s="1">
        <v>45447</v>
      </c>
      <c r="C894" t="s">
        <v>2712</v>
      </c>
      <c r="D894" t="s">
        <v>58</v>
      </c>
      <c r="E894">
        <v>3</v>
      </c>
      <c r="F894">
        <v>1402</v>
      </c>
      <c r="G894" s="9">
        <v>0.5</v>
      </c>
      <c r="H894" t="s">
        <v>50</v>
      </c>
      <c r="I894" t="s">
        <v>2713</v>
      </c>
      <c r="J894" s="13" t="s">
        <v>14</v>
      </c>
      <c r="K894">
        <v>2</v>
      </c>
      <c r="L894" t="s">
        <v>22</v>
      </c>
      <c r="M894">
        <f>Table1[[#This Row],[UnitPrice]]*Table1[[#This Row],[Quantity]]</f>
        <v>4206</v>
      </c>
      <c r="N894">
        <f>Table1[[#This Row],[Total Price]]*Table1[[#This Row],[Discount]]</f>
        <v>2103</v>
      </c>
      <c r="O894">
        <f>Table1[[#This Row],[Total Price]]-Table1[[#This Row],[Discount Amount]]</f>
        <v>2103</v>
      </c>
    </row>
    <row r="895" spans="1:15" x14ac:dyDescent="0.3">
      <c r="A895" t="s">
        <v>2714</v>
      </c>
      <c r="B895" s="1">
        <v>45006</v>
      </c>
      <c r="C895" t="s">
        <v>2715</v>
      </c>
      <c r="D895" t="s">
        <v>12</v>
      </c>
      <c r="E895">
        <v>3</v>
      </c>
      <c r="F895">
        <v>9525</v>
      </c>
      <c r="G895" s="9">
        <v>0.17</v>
      </c>
      <c r="H895" t="s">
        <v>50</v>
      </c>
      <c r="I895" t="s">
        <v>2716</v>
      </c>
      <c r="J895" s="14" t="s">
        <v>73</v>
      </c>
      <c r="K895">
        <v>4</v>
      </c>
      <c r="L895" t="s">
        <v>22</v>
      </c>
      <c r="M895">
        <f>Table1[[#This Row],[UnitPrice]]*Table1[[#This Row],[Quantity]]</f>
        <v>28575</v>
      </c>
      <c r="N895">
        <f>Table1[[#This Row],[Total Price]]*Table1[[#This Row],[Discount]]</f>
        <v>4857.75</v>
      </c>
      <c r="O895">
        <f>Table1[[#This Row],[Total Price]]-Table1[[#This Row],[Discount Amount]]</f>
        <v>23717.25</v>
      </c>
    </row>
    <row r="896" spans="1:15" x14ac:dyDescent="0.3">
      <c r="A896" t="s">
        <v>2717</v>
      </c>
      <c r="B896" s="1">
        <v>45069</v>
      </c>
      <c r="C896" t="s">
        <v>2718</v>
      </c>
      <c r="D896" t="s">
        <v>25</v>
      </c>
      <c r="E896">
        <v>2</v>
      </c>
      <c r="F896">
        <v>3385</v>
      </c>
      <c r="G896" s="9">
        <v>0.41</v>
      </c>
      <c r="H896" t="s">
        <v>20</v>
      </c>
      <c r="I896" t="s">
        <v>2719</v>
      </c>
      <c r="J896" s="13" t="s">
        <v>14</v>
      </c>
      <c r="K896">
        <v>8</v>
      </c>
      <c r="L896" t="s">
        <v>16</v>
      </c>
      <c r="M896">
        <f>Table1[[#This Row],[UnitPrice]]*Table1[[#This Row],[Quantity]]</f>
        <v>6770</v>
      </c>
      <c r="N896">
        <f>Table1[[#This Row],[Total Price]]*Table1[[#This Row],[Discount]]</f>
        <v>2775.7</v>
      </c>
      <c r="O896">
        <f>Table1[[#This Row],[Total Price]]-Table1[[#This Row],[Discount Amount]]</f>
        <v>3994.3</v>
      </c>
    </row>
    <row r="897" spans="1:15" x14ac:dyDescent="0.3">
      <c r="A897" t="s">
        <v>2720</v>
      </c>
      <c r="B897" s="1">
        <v>45239</v>
      </c>
      <c r="C897" t="s">
        <v>2721</v>
      </c>
      <c r="D897" t="s">
        <v>31</v>
      </c>
      <c r="E897">
        <v>3</v>
      </c>
      <c r="F897">
        <v>25252</v>
      </c>
      <c r="G897" s="9">
        <v>0.39</v>
      </c>
      <c r="H897" t="s">
        <v>13</v>
      </c>
      <c r="I897" t="s">
        <v>2722</v>
      </c>
      <c r="J897" s="14" t="s">
        <v>73</v>
      </c>
      <c r="K897">
        <v>6</v>
      </c>
      <c r="L897" t="s">
        <v>33</v>
      </c>
      <c r="M897">
        <f>Table1[[#This Row],[UnitPrice]]*Table1[[#This Row],[Quantity]]</f>
        <v>75756</v>
      </c>
      <c r="N897">
        <f>Table1[[#This Row],[Total Price]]*Table1[[#This Row],[Discount]]</f>
        <v>29544.84</v>
      </c>
      <c r="O897">
        <f>Table1[[#This Row],[Total Price]]-Table1[[#This Row],[Discount Amount]]</f>
        <v>46211.16</v>
      </c>
    </row>
    <row r="898" spans="1:15" x14ac:dyDescent="0.3">
      <c r="A898" t="s">
        <v>2723</v>
      </c>
      <c r="B898" s="1">
        <v>45583</v>
      </c>
      <c r="C898" t="s">
        <v>2724</v>
      </c>
      <c r="D898" t="s">
        <v>58</v>
      </c>
      <c r="E898">
        <v>1</v>
      </c>
      <c r="F898">
        <v>1851</v>
      </c>
      <c r="G898" s="9">
        <v>0.36</v>
      </c>
      <c r="H898" t="s">
        <v>45</v>
      </c>
      <c r="I898" t="s">
        <v>2725</v>
      </c>
      <c r="J898" s="13" t="s">
        <v>14</v>
      </c>
      <c r="K898">
        <v>3</v>
      </c>
      <c r="L898" t="s">
        <v>60</v>
      </c>
      <c r="M898">
        <f>Table1[[#This Row],[UnitPrice]]*Table1[[#This Row],[Quantity]]</f>
        <v>1851</v>
      </c>
      <c r="N898">
        <f>Table1[[#This Row],[Total Price]]*Table1[[#This Row],[Discount]]</f>
        <v>666.36</v>
      </c>
      <c r="O898">
        <f>Table1[[#This Row],[Total Price]]-Table1[[#This Row],[Discount Amount]]</f>
        <v>1184.6399999999999</v>
      </c>
    </row>
    <row r="899" spans="1:15" x14ac:dyDescent="0.3">
      <c r="A899" t="s">
        <v>2726</v>
      </c>
      <c r="B899" s="1">
        <v>45538</v>
      </c>
      <c r="C899" t="s">
        <v>2727</v>
      </c>
      <c r="D899" t="s">
        <v>44</v>
      </c>
      <c r="E899">
        <v>2</v>
      </c>
      <c r="F899">
        <v>44485</v>
      </c>
      <c r="G899" s="9">
        <v>0.33</v>
      </c>
      <c r="H899" t="s">
        <v>45</v>
      </c>
      <c r="I899" t="s">
        <v>2728</v>
      </c>
      <c r="J899" s="14" t="s">
        <v>37</v>
      </c>
      <c r="K899">
        <v>5</v>
      </c>
      <c r="L899" t="s">
        <v>16</v>
      </c>
      <c r="M899">
        <f>Table1[[#This Row],[UnitPrice]]*Table1[[#This Row],[Quantity]]</f>
        <v>88970</v>
      </c>
      <c r="N899">
        <f>Table1[[#This Row],[Total Price]]*Table1[[#This Row],[Discount]]</f>
        <v>29360.100000000002</v>
      </c>
      <c r="O899">
        <f>Table1[[#This Row],[Total Price]]-Table1[[#This Row],[Discount Amount]]</f>
        <v>59609.899999999994</v>
      </c>
    </row>
    <row r="900" spans="1:15" x14ac:dyDescent="0.3">
      <c r="A900" t="s">
        <v>2729</v>
      </c>
      <c r="B900" s="1">
        <v>45721</v>
      </c>
      <c r="C900" t="s">
        <v>2730</v>
      </c>
      <c r="D900" t="s">
        <v>12</v>
      </c>
      <c r="E900">
        <v>2</v>
      </c>
      <c r="F900">
        <v>7564</v>
      </c>
      <c r="G900" s="9">
        <v>0.05</v>
      </c>
      <c r="H900" t="s">
        <v>50</v>
      </c>
      <c r="I900" t="s">
        <v>2731</v>
      </c>
      <c r="J900" s="13" t="s">
        <v>14</v>
      </c>
      <c r="K900">
        <v>6</v>
      </c>
      <c r="L900" t="s">
        <v>22</v>
      </c>
      <c r="M900">
        <f>Table1[[#This Row],[UnitPrice]]*Table1[[#This Row],[Quantity]]</f>
        <v>15128</v>
      </c>
      <c r="N900">
        <f>Table1[[#This Row],[Total Price]]*Table1[[#This Row],[Discount]]</f>
        <v>756.40000000000009</v>
      </c>
      <c r="O900">
        <f>Table1[[#This Row],[Total Price]]-Table1[[#This Row],[Discount Amount]]</f>
        <v>14371.6</v>
      </c>
    </row>
    <row r="901" spans="1:15" x14ac:dyDescent="0.3">
      <c r="A901" t="s">
        <v>2732</v>
      </c>
      <c r="B901" s="1">
        <v>45770</v>
      </c>
      <c r="C901" t="s">
        <v>2733</v>
      </c>
      <c r="D901" t="s">
        <v>36</v>
      </c>
      <c r="E901">
        <v>2</v>
      </c>
      <c r="F901">
        <v>6248</v>
      </c>
      <c r="G901" s="9">
        <v>0.5</v>
      </c>
      <c r="H901" t="s">
        <v>20</v>
      </c>
      <c r="I901" t="s">
        <v>2734</v>
      </c>
      <c r="J901" s="14" t="s">
        <v>73</v>
      </c>
      <c r="K901">
        <v>3</v>
      </c>
      <c r="L901" t="s">
        <v>16</v>
      </c>
      <c r="M901">
        <f>Table1[[#This Row],[UnitPrice]]*Table1[[#This Row],[Quantity]]</f>
        <v>12496</v>
      </c>
      <c r="N901">
        <f>Table1[[#This Row],[Total Price]]*Table1[[#This Row],[Discount]]</f>
        <v>6248</v>
      </c>
      <c r="O901">
        <f>Table1[[#This Row],[Total Price]]-Table1[[#This Row],[Discount Amount]]</f>
        <v>6248</v>
      </c>
    </row>
    <row r="902" spans="1:15" x14ac:dyDescent="0.3">
      <c r="A902" t="s">
        <v>2735</v>
      </c>
      <c r="B902" s="1">
        <v>45695</v>
      </c>
      <c r="C902" t="s">
        <v>2736</v>
      </c>
      <c r="D902" t="s">
        <v>44</v>
      </c>
      <c r="E902">
        <v>3</v>
      </c>
      <c r="F902">
        <v>49295</v>
      </c>
      <c r="G902" s="9">
        <v>0.08</v>
      </c>
      <c r="H902" t="s">
        <v>13</v>
      </c>
      <c r="I902" t="s">
        <v>2737</v>
      </c>
      <c r="J902" s="13" t="s">
        <v>73</v>
      </c>
      <c r="K902">
        <v>9</v>
      </c>
      <c r="L902" t="s">
        <v>16</v>
      </c>
      <c r="M902">
        <f>Table1[[#This Row],[UnitPrice]]*Table1[[#This Row],[Quantity]]</f>
        <v>147885</v>
      </c>
      <c r="N902">
        <f>Table1[[#This Row],[Total Price]]*Table1[[#This Row],[Discount]]</f>
        <v>11830.800000000001</v>
      </c>
      <c r="O902">
        <f>Table1[[#This Row],[Total Price]]-Table1[[#This Row],[Discount Amount]]</f>
        <v>136054.20000000001</v>
      </c>
    </row>
    <row r="903" spans="1:15" x14ac:dyDescent="0.3">
      <c r="A903" t="s">
        <v>2738</v>
      </c>
      <c r="B903" s="1">
        <v>45410</v>
      </c>
      <c r="C903" t="s">
        <v>2739</v>
      </c>
      <c r="D903" t="s">
        <v>25</v>
      </c>
      <c r="E903">
        <v>2</v>
      </c>
      <c r="F903">
        <v>1854</v>
      </c>
      <c r="G903" s="9">
        <v>0.3</v>
      </c>
      <c r="H903" t="s">
        <v>13</v>
      </c>
      <c r="I903" t="s">
        <v>2740</v>
      </c>
      <c r="J903" s="14" t="s">
        <v>37</v>
      </c>
      <c r="K903">
        <v>4</v>
      </c>
      <c r="L903" t="s">
        <v>22</v>
      </c>
      <c r="M903">
        <f>Table1[[#This Row],[UnitPrice]]*Table1[[#This Row],[Quantity]]</f>
        <v>3708</v>
      </c>
      <c r="N903">
        <f>Table1[[#This Row],[Total Price]]*Table1[[#This Row],[Discount]]</f>
        <v>1112.3999999999999</v>
      </c>
      <c r="O903">
        <f>Table1[[#This Row],[Total Price]]-Table1[[#This Row],[Discount Amount]]</f>
        <v>2595.6000000000004</v>
      </c>
    </row>
    <row r="904" spans="1:15" x14ac:dyDescent="0.3">
      <c r="A904" t="s">
        <v>2741</v>
      </c>
      <c r="B904" s="1">
        <v>45486</v>
      </c>
      <c r="C904" t="s">
        <v>2742</v>
      </c>
      <c r="D904" t="s">
        <v>12</v>
      </c>
      <c r="E904">
        <v>2</v>
      </c>
      <c r="F904">
        <v>3852</v>
      </c>
      <c r="G904" s="9">
        <v>0.12</v>
      </c>
      <c r="H904" t="s">
        <v>13</v>
      </c>
      <c r="I904" t="s">
        <v>2743</v>
      </c>
      <c r="J904" s="13" t="s">
        <v>14</v>
      </c>
      <c r="K904">
        <v>7</v>
      </c>
      <c r="L904" t="s">
        <v>33</v>
      </c>
      <c r="M904">
        <f>Table1[[#This Row],[UnitPrice]]*Table1[[#This Row],[Quantity]]</f>
        <v>7704</v>
      </c>
      <c r="N904">
        <f>Table1[[#This Row],[Total Price]]*Table1[[#This Row],[Discount]]</f>
        <v>924.48</v>
      </c>
      <c r="O904">
        <f>Table1[[#This Row],[Total Price]]-Table1[[#This Row],[Discount Amount]]</f>
        <v>6779.52</v>
      </c>
    </row>
    <row r="905" spans="1:15" x14ac:dyDescent="0.3">
      <c r="A905" t="s">
        <v>2744</v>
      </c>
      <c r="B905" s="1">
        <v>45063</v>
      </c>
      <c r="C905" t="s">
        <v>2745</v>
      </c>
      <c r="D905" t="s">
        <v>12</v>
      </c>
      <c r="E905">
        <v>3</v>
      </c>
      <c r="F905">
        <v>1447</v>
      </c>
      <c r="G905" s="9">
        <v>0.08</v>
      </c>
      <c r="H905" t="s">
        <v>26</v>
      </c>
      <c r="I905" t="s">
        <v>2746</v>
      </c>
      <c r="J905" s="14" t="s">
        <v>73</v>
      </c>
      <c r="K905">
        <v>7</v>
      </c>
      <c r="L905" t="s">
        <v>28</v>
      </c>
      <c r="M905">
        <f>Table1[[#This Row],[UnitPrice]]*Table1[[#This Row],[Quantity]]</f>
        <v>4341</v>
      </c>
      <c r="N905">
        <f>Table1[[#This Row],[Total Price]]*Table1[[#This Row],[Discount]]</f>
        <v>347.28000000000003</v>
      </c>
      <c r="O905">
        <f>Table1[[#This Row],[Total Price]]-Table1[[#This Row],[Discount Amount]]</f>
        <v>3993.72</v>
      </c>
    </row>
    <row r="906" spans="1:15" x14ac:dyDescent="0.3">
      <c r="A906" t="s">
        <v>2747</v>
      </c>
      <c r="B906" s="1">
        <v>45693</v>
      </c>
      <c r="C906" t="s">
        <v>2748</v>
      </c>
      <c r="D906" t="s">
        <v>12</v>
      </c>
      <c r="E906">
        <v>3</v>
      </c>
      <c r="F906">
        <v>6061</v>
      </c>
      <c r="G906" s="9">
        <v>0.28000000000000003</v>
      </c>
      <c r="H906" t="s">
        <v>50</v>
      </c>
      <c r="I906" t="s">
        <v>2749</v>
      </c>
      <c r="J906" s="13" t="s">
        <v>73</v>
      </c>
      <c r="K906">
        <v>8</v>
      </c>
      <c r="L906" t="s">
        <v>22</v>
      </c>
      <c r="M906">
        <f>Table1[[#This Row],[UnitPrice]]*Table1[[#This Row],[Quantity]]</f>
        <v>18183</v>
      </c>
      <c r="N906">
        <f>Table1[[#This Row],[Total Price]]*Table1[[#This Row],[Discount]]</f>
        <v>5091.2400000000007</v>
      </c>
      <c r="O906">
        <f>Table1[[#This Row],[Total Price]]-Table1[[#This Row],[Discount Amount]]</f>
        <v>13091.759999999998</v>
      </c>
    </row>
    <row r="907" spans="1:15" x14ac:dyDescent="0.3">
      <c r="A907" t="s">
        <v>2750</v>
      </c>
      <c r="B907" s="1">
        <v>45253</v>
      </c>
      <c r="C907" t="s">
        <v>2751</v>
      </c>
      <c r="D907" t="s">
        <v>44</v>
      </c>
      <c r="E907">
        <v>2</v>
      </c>
      <c r="F907">
        <v>21040</v>
      </c>
      <c r="G907" s="9">
        <v>0.42</v>
      </c>
      <c r="H907" t="s">
        <v>45</v>
      </c>
      <c r="I907" t="s">
        <v>2752</v>
      </c>
      <c r="J907" s="14" t="s">
        <v>73</v>
      </c>
      <c r="K907">
        <v>6</v>
      </c>
      <c r="L907" t="s">
        <v>33</v>
      </c>
      <c r="M907">
        <f>Table1[[#This Row],[UnitPrice]]*Table1[[#This Row],[Quantity]]</f>
        <v>42080</v>
      </c>
      <c r="N907">
        <f>Table1[[#This Row],[Total Price]]*Table1[[#This Row],[Discount]]</f>
        <v>17673.599999999999</v>
      </c>
      <c r="O907">
        <f>Table1[[#This Row],[Total Price]]-Table1[[#This Row],[Discount Amount]]</f>
        <v>24406.400000000001</v>
      </c>
    </row>
    <row r="908" spans="1:15" x14ac:dyDescent="0.3">
      <c r="A908" t="s">
        <v>2753</v>
      </c>
      <c r="B908" s="1">
        <v>45538</v>
      </c>
      <c r="C908" t="s">
        <v>2754</v>
      </c>
      <c r="D908" t="s">
        <v>12</v>
      </c>
      <c r="E908">
        <v>1</v>
      </c>
      <c r="F908">
        <v>6340</v>
      </c>
      <c r="G908" s="9">
        <v>0.19</v>
      </c>
      <c r="H908" t="s">
        <v>50</v>
      </c>
      <c r="I908" t="s">
        <v>2755</v>
      </c>
      <c r="J908" s="13" t="s">
        <v>14</v>
      </c>
      <c r="K908">
        <v>2</v>
      </c>
      <c r="L908" t="s">
        <v>28</v>
      </c>
      <c r="M908">
        <f>Table1[[#This Row],[UnitPrice]]*Table1[[#This Row],[Quantity]]</f>
        <v>6340</v>
      </c>
      <c r="N908">
        <f>Table1[[#This Row],[Total Price]]*Table1[[#This Row],[Discount]]</f>
        <v>1204.5999999999999</v>
      </c>
      <c r="O908">
        <f>Table1[[#This Row],[Total Price]]-Table1[[#This Row],[Discount Amount]]</f>
        <v>5135.3999999999996</v>
      </c>
    </row>
    <row r="909" spans="1:15" x14ac:dyDescent="0.3">
      <c r="A909" t="s">
        <v>2756</v>
      </c>
      <c r="B909" s="1">
        <v>45508</v>
      </c>
      <c r="C909" t="s">
        <v>2757</v>
      </c>
      <c r="D909" t="s">
        <v>58</v>
      </c>
      <c r="E909">
        <v>2</v>
      </c>
      <c r="F909">
        <v>8889</v>
      </c>
      <c r="G909" s="9">
        <v>0.04</v>
      </c>
      <c r="H909" t="s">
        <v>45</v>
      </c>
      <c r="I909" t="s">
        <v>2758</v>
      </c>
      <c r="J909" s="14" t="s">
        <v>37</v>
      </c>
      <c r="K909">
        <v>7</v>
      </c>
      <c r="L909" t="s">
        <v>22</v>
      </c>
      <c r="M909">
        <f>Table1[[#This Row],[UnitPrice]]*Table1[[#This Row],[Quantity]]</f>
        <v>17778</v>
      </c>
      <c r="N909">
        <f>Table1[[#This Row],[Total Price]]*Table1[[#This Row],[Discount]]</f>
        <v>711.12</v>
      </c>
      <c r="O909">
        <f>Table1[[#This Row],[Total Price]]-Table1[[#This Row],[Discount Amount]]</f>
        <v>17066.88</v>
      </c>
    </row>
    <row r="910" spans="1:15" x14ac:dyDescent="0.3">
      <c r="A910" t="s">
        <v>2759</v>
      </c>
      <c r="B910" s="1">
        <v>45783</v>
      </c>
      <c r="C910" t="s">
        <v>2760</v>
      </c>
      <c r="D910" t="s">
        <v>58</v>
      </c>
      <c r="E910">
        <v>1</v>
      </c>
      <c r="F910">
        <v>7379</v>
      </c>
      <c r="G910" s="9">
        <v>0.31</v>
      </c>
      <c r="H910" t="s">
        <v>26</v>
      </c>
      <c r="I910" t="s">
        <v>2761</v>
      </c>
      <c r="J910" s="13" t="s">
        <v>37</v>
      </c>
      <c r="K910">
        <v>2</v>
      </c>
      <c r="L910" t="s">
        <v>60</v>
      </c>
      <c r="M910">
        <f>Table1[[#This Row],[UnitPrice]]*Table1[[#This Row],[Quantity]]</f>
        <v>7379</v>
      </c>
      <c r="N910">
        <f>Table1[[#This Row],[Total Price]]*Table1[[#This Row],[Discount]]</f>
        <v>2287.4899999999998</v>
      </c>
      <c r="O910">
        <f>Table1[[#This Row],[Total Price]]-Table1[[#This Row],[Discount Amount]]</f>
        <v>5091.51</v>
      </c>
    </row>
    <row r="911" spans="1:15" x14ac:dyDescent="0.3">
      <c r="A911" t="s">
        <v>2762</v>
      </c>
      <c r="B911" s="1">
        <v>45439</v>
      </c>
      <c r="C911" t="s">
        <v>2763</v>
      </c>
      <c r="D911" t="s">
        <v>25</v>
      </c>
      <c r="E911">
        <v>1</v>
      </c>
      <c r="F911">
        <v>2256</v>
      </c>
      <c r="G911" s="9">
        <v>0.38</v>
      </c>
      <c r="H911" t="s">
        <v>50</v>
      </c>
      <c r="I911" t="s">
        <v>2764</v>
      </c>
      <c r="J911" s="14" t="s">
        <v>14</v>
      </c>
      <c r="K911">
        <v>5</v>
      </c>
      <c r="L911" t="s">
        <v>16</v>
      </c>
      <c r="M911">
        <f>Table1[[#This Row],[UnitPrice]]*Table1[[#This Row],[Quantity]]</f>
        <v>2256</v>
      </c>
      <c r="N911">
        <f>Table1[[#This Row],[Total Price]]*Table1[[#This Row],[Discount]]</f>
        <v>857.28</v>
      </c>
      <c r="O911">
        <f>Table1[[#This Row],[Total Price]]-Table1[[#This Row],[Discount Amount]]</f>
        <v>1398.72</v>
      </c>
    </row>
    <row r="912" spans="1:15" x14ac:dyDescent="0.3">
      <c r="A912" t="s">
        <v>2765</v>
      </c>
      <c r="B912" s="1">
        <v>45443</v>
      </c>
      <c r="C912" t="s">
        <v>2766</v>
      </c>
      <c r="D912" t="s">
        <v>36</v>
      </c>
      <c r="E912">
        <v>1</v>
      </c>
      <c r="F912">
        <v>9319</v>
      </c>
      <c r="G912" s="9">
        <v>0.15</v>
      </c>
      <c r="H912" t="s">
        <v>50</v>
      </c>
      <c r="I912" t="s">
        <v>2767</v>
      </c>
      <c r="J912" s="13" t="s">
        <v>37</v>
      </c>
      <c r="K912">
        <v>3</v>
      </c>
      <c r="L912" t="s">
        <v>16</v>
      </c>
      <c r="M912">
        <f>Table1[[#This Row],[UnitPrice]]*Table1[[#This Row],[Quantity]]</f>
        <v>9319</v>
      </c>
      <c r="N912">
        <f>Table1[[#This Row],[Total Price]]*Table1[[#This Row],[Discount]]</f>
        <v>1397.85</v>
      </c>
      <c r="O912">
        <f>Table1[[#This Row],[Total Price]]-Table1[[#This Row],[Discount Amount]]</f>
        <v>7921.15</v>
      </c>
    </row>
    <row r="913" spans="1:15" x14ac:dyDescent="0.3">
      <c r="A913" t="s">
        <v>2768</v>
      </c>
      <c r="B913" s="1">
        <v>45517</v>
      </c>
      <c r="C913" t="s">
        <v>2769</v>
      </c>
      <c r="D913" t="s">
        <v>58</v>
      </c>
      <c r="E913">
        <v>2</v>
      </c>
      <c r="F913">
        <v>1376</v>
      </c>
      <c r="G913" s="9">
        <v>0.35</v>
      </c>
      <c r="H913" t="s">
        <v>50</v>
      </c>
      <c r="I913" t="s">
        <v>2770</v>
      </c>
      <c r="J913" s="14" t="s">
        <v>37</v>
      </c>
      <c r="K913">
        <v>9</v>
      </c>
      <c r="L913" t="s">
        <v>16</v>
      </c>
      <c r="M913">
        <f>Table1[[#This Row],[UnitPrice]]*Table1[[#This Row],[Quantity]]</f>
        <v>2752</v>
      </c>
      <c r="N913">
        <f>Table1[[#This Row],[Total Price]]*Table1[[#This Row],[Discount]]</f>
        <v>963.19999999999993</v>
      </c>
      <c r="O913">
        <f>Table1[[#This Row],[Total Price]]-Table1[[#This Row],[Discount Amount]]</f>
        <v>1788.8000000000002</v>
      </c>
    </row>
    <row r="914" spans="1:15" x14ac:dyDescent="0.3">
      <c r="A914" t="s">
        <v>2771</v>
      </c>
      <c r="B914" s="1">
        <v>45313</v>
      </c>
      <c r="C914" t="s">
        <v>2772</v>
      </c>
      <c r="D914" t="s">
        <v>58</v>
      </c>
      <c r="E914">
        <v>2</v>
      </c>
      <c r="F914">
        <v>7135</v>
      </c>
      <c r="G914" s="9">
        <v>0.04</v>
      </c>
      <c r="H914" t="s">
        <v>20</v>
      </c>
      <c r="I914" t="s">
        <v>2773</v>
      </c>
      <c r="J914" s="13" t="s">
        <v>37</v>
      </c>
      <c r="K914">
        <v>7</v>
      </c>
      <c r="L914" t="s">
        <v>28</v>
      </c>
      <c r="M914">
        <f>Table1[[#This Row],[UnitPrice]]*Table1[[#This Row],[Quantity]]</f>
        <v>14270</v>
      </c>
      <c r="N914">
        <f>Table1[[#This Row],[Total Price]]*Table1[[#This Row],[Discount]]</f>
        <v>570.80000000000007</v>
      </c>
      <c r="O914">
        <f>Table1[[#This Row],[Total Price]]-Table1[[#This Row],[Discount Amount]]</f>
        <v>13699.2</v>
      </c>
    </row>
    <row r="915" spans="1:15" x14ac:dyDescent="0.3">
      <c r="A915" t="s">
        <v>2774</v>
      </c>
      <c r="B915" s="1">
        <v>44973</v>
      </c>
      <c r="C915" t="s">
        <v>2775</v>
      </c>
      <c r="D915" t="s">
        <v>36</v>
      </c>
      <c r="E915">
        <v>1</v>
      </c>
      <c r="F915">
        <v>6043</v>
      </c>
      <c r="G915" s="9">
        <v>0.18</v>
      </c>
      <c r="H915" t="s">
        <v>26</v>
      </c>
      <c r="I915" t="s">
        <v>2776</v>
      </c>
      <c r="J915" s="14" t="s">
        <v>37</v>
      </c>
      <c r="K915">
        <v>8</v>
      </c>
      <c r="L915" t="s">
        <v>33</v>
      </c>
      <c r="M915">
        <f>Table1[[#This Row],[UnitPrice]]*Table1[[#This Row],[Quantity]]</f>
        <v>6043</v>
      </c>
      <c r="N915">
        <f>Table1[[#This Row],[Total Price]]*Table1[[#This Row],[Discount]]</f>
        <v>1087.74</v>
      </c>
      <c r="O915">
        <f>Table1[[#This Row],[Total Price]]-Table1[[#This Row],[Discount Amount]]</f>
        <v>4955.26</v>
      </c>
    </row>
    <row r="916" spans="1:15" x14ac:dyDescent="0.3">
      <c r="A916" t="s">
        <v>2777</v>
      </c>
      <c r="B916" s="1">
        <v>45698</v>
      </c>
      <c r="C916" t="s">
        <v>2778</v>
      </c>
      <c r="D916" t="s">
        <v>58</v>
      </c>
      <c r="E916">
        <v>1</v>
      </c>
      <c r="F916">
        <v>9451</v>
      </c>
      <c r="G916" s="9">
        <v>0.24</v>
      </c>
      <c r="H916" t="s">
        <v>45</v>
      </c>
      <c r="I916" t="s">
        <v>2779</v>
      </c>
      <c r="J916" s="13" t="s">
        <v>14</v>
      </c>
      <c r="K916">
        <v>4</v>
      </c>
      <c r="L916" t="s">
        <v>33</v>
      </c>
      <c r="M916">
        <f>Table1[[#This Row],[UnitPrice]]*Table1[[#This Row],[Quantity]]</f>
        <v>9451</v>
      </c>
      <c r="N916">
        <f>Table1[[#This Row],[Total Price]]*Table1[[#This Row],[Discount]]</f>
        <v>2268.2399999999998</v>
      </c>
      <c r="O916">
        <f>Table1[[#This Row],[Total Price]]-Table1[[#This Row],[Discount Amount]]</f>
        <v>7182.76</v>
      </c>
    </row>
    <row r="917" spans="1:15" x14ac:dyDescent="0.3">
      <c r="A917" t="s">
        <v>2780</v>
      </c>
      <c r="B917" s="1">
        <v>45338</v>
      </c>
      <c r="C917" t="s">
        <v>2781</v>
      </c>
      <c r="D917" t="s">
        <v>44</v>
      </c>
      <c r="E917">
        <v>1</v>
      </c>
      <c r="F917">
        <v>26065</v>
      </c>
      <c r="G917" s="9">
        <v>0.39</v>
      </c>
      <c r="H917" t="s">
        <v>13</v>
      </c>
      <c r="I917" t="s">
        <v>2782</v>
      </c>
      <c r="J917" s="14" t="s">
        <v>14</v>
      </c>
      <c r="K917">
        <v>4</v>
      </c>
      <c r="L917" t="s">
        <v>22</v>
      </c>
      <c r="M917">
        <f>Table1[[#This Row],[UnitPrice]]*Table1[[#This Row],[Quantity]]</f>
        <v>26065</v>
      </c>
      <c r="N917">
        <f>Table1[[#This Row],[Total Price]]*Table1[[#This Row],[Discount]]</f>
        <v>10165.35</v>
      </c>
      <c r="O917">
        <f>Table1[[#This Row],[Total Price]]-Table1[[#This Row],[Discount Amount]]</f>
        <v>15899.65</v>
      </c>
    </row>
    <row r="918" spans="1:15" x14ac:dyDescent="0.3">
      <c r="A918" t="s">
        <v>2783</v>
      </c>
      <c r="B918" s="1">
        <v>45464</v>
      </c>
      <c r="C918" t="s">
        <v>2784</v>
      </c>
      <c r="D918" t="s">
        <v>36</v>
      </c>
      <c r="E918">
        <v>1</v>
      </c>
      <c r="F918">
        <v>6088</v>
      </c>
      <c r="G918" s="9">
        <v>0.17</v>
      </c>
      <c r="H918" t="s">
        <v>50</v>
      </c>
      <c r="I918" t="s">
        <v>2785</v>
      </c>
      <c r="J918" s="13" t="s">
        <v>73</v>
      </c>
      <c r="K918">
        <v>6</v>
      </c>
      <c r="L918" t="s">
        <v>22</v>
      </c>
      <c r="M918">
        <f>Table1[[#This Row],[UnitPrice]]*Table1[[#This Row],[Quantity]]</f>
        <v>6088</v>
      </c>
      <c r="N918">
        <f>Table1[[#This Row],[Total Price]]*Table1[[#This Row],[Discount]]</f>
        <v>1034.96</v>
      </c>
      <c r="O918">
        <f>Table1[[#This Row],[Total Price]]-Table1[[#This Row],[Discount Amount]]</f>
        <v>5053.04</v>
      </c>
    </row>
    <row r="919" spans="1:15" x14ac:dyDescent="0.3">
      <c r="A919" t="s">
        <v>2786</v>
      </c>
      <c r="B919" s="1">
        <v>45677</v>
      </c>
      <c r="C919" t="s">
        <v>2787</v>
      </c>
      <c r="D919" t="s">
        <v>44</v>
      </c>
      <c r="E919">
        <v>3</v>
      </c>
      <c r="F919">
        <v>43118</v>
      </c>
      <c r="G919" s="9">
        <v>0.23</v>
      </c>
      <c r="H919" t="s">
        <v>26</v>
      </c>
      <c r="I919" t="s">
        <v>2788</v>
      </c>
      <c r="J919" s="14" t="s">
        <v>37</v>
      </c>
      <c r="K919">
        <v>7</v>
      </c>
      <c r="L919" t="s">
        <v>60</v>
      </c>
      <c r="M919">
        <f>Table1[[#This Row],[UnitPrice]]*Table1[[#This Row],[Quantity]]</f>
        <v>129354</v>
      </c>
      <c r="N919">
        <f>Table1[[#This Row],[Total Price]]*Table1[[#This Row],[Discount]]</f>
        <v>29751.420000000002</v>
      </c>
      <c r="O919">
        <f>Table1[[#This Row],[Total Price]]-Table1[[#This Row],[Discount Amount]]</f>
        <v>99602.58</v>
      </c>
    </row>
    <row r="920" spans="1:15" x14ac:dyDescent="0.3">
      <c r="A920" t="s">
        <v>2789</v>
      </c>
      <c r="B920" s="1">
        <v>45832</v>
      </c>
      <c r="C920" t="s">
        <v>2790</v>
      </c>
      <c r="D920" t="s">
        <v>44</v>
      </c>
      <c r="E920">
        <v>3</v>
      </c>
      <c r="F920">
        <v>34786</v>
      </c>
      <c r="G920" s="9">
        <v>0.31</v>
      </c>
      <c r="H920" t="s">
        <v>20</v>
      </c>
      <c r="I920" t="s">
        <v>2791</v>
      </c>
      <c r="J920" s="13" t="s">
        <v>37</v>
      </c>
      <c r="K920">
        <v>5</v>
      </c>
      <c r="L920" t="s">
        <v>16</v>
      </c>
      <c r="M920">
        <f>Table1[[#This Row],[UnitPrice]]*Table1[[#This Row],[Quantity]]</f>
        <v>104358</v>
      </c>
      <c r="N920">
        <f>Table1[[#This Row],[Total Price]]*Table1[[#This Row],[Discount]]</f>
        <v>32350.98</v>
      </c>
      <c r="O920">
        <f>Table1[[#This Row],[Total Price]]-Table1[[#This Row],[Discount Amount]]</f>
        <v>72007.02</v>
      </c>
    </row>
    <row r="921" spans="1:15" x14ac:dyDescent="0.3">
      <c r="A921" t="s">
        <v>2792</v>
      </c>
      <c r="B921" s="1">
        <v>45695</v>
      </c>
      <c r="C921" t="s">
        <v>2793</v>
      </c>
      <c r="D921" t="s">
        <v>36</v>
      </c>
      <c r="E921">
        <v>1</v>
      </c>
      <c r="F921">
        <v>9152</v>
      </c>
      <c r="G921" s="9">
        <v>0.31</v>
      </c>
      <c r="H921" t="s">
        <v>20</v>
      </c>
      <c r="I921" t="s">
        <v>2794</v>
      </c>
      <c r="J921" s="14" t="s">
        <v>14</v>
      </c>
      <c r="K921">
        <v>3</v>
      </c>
      <c r="L921" t="s">
        <v>22</v>
      </c>
      <c r="M921">
        <f>Table1[[#This Row],[UnitPrice]]*Table1[[#This Row],[Quantity]]</f>
        <v>9152</v>
      </c>
      <c r="N921">
        <f>Table1[[#This Row],[Total Price]]*Table1[[#This Row],[Discount]]</f>
        <v>2837.12</v>
      </c>
      <c r="O921">
        <f>Table1[[#This Row],[Total Price]]-Table1[[#This Row],[Discount Amount]]</f>
        <v>6314.88</v>
      </c>
    </row>
    <row r="922" spans="1:15" x14ac:dyDescent="0.3">
      <c r="A922" t="s">
        <v>2795</v>
      </c>
      <c r="B922" s="1">
        <v>45728</v>
      </c>
      <c r="C922" t="s">
        <v>2796</v>
      </c>
      <c r="D922" t="s">
        <v>25</v>
      </c>
      <c r="E922">
        <v>2</v>
      </c>
      <c r="F922">
        <v>1137</v>
      </c>
      <c r="G922" s="9">
        <v>0.26</v>
      </c>
      <c r="H922" t="s">
        <v>26</v>
      </c>
      <c r="I922" t="s">
        <v>2797</v>
      </c>
      <c r="J922" s="13" t="s">
        <v>14</v>
      </c>
      <c r="K922">
        <v>6</v>
      </c>
      <c r="L922" t="s">
        <v>16</v>
      </c>
      <c r="M922">
        <f>Table1[[#This Row],[UnitPrice]]*Table1[[#This Row],[Quantity]]</f>
        <v>2274</v>
      </c>
      <c r="N922">
        <f>Table1[[#This Row],[Total Price]]*Table1[[#This Row],[Discount]]</f>
        <v>591.24</v>
      </c>
      <c r="O922">
        <f>Table1[[#This Row],[Total Price]]-Table1[[#This Row],[Discount Amount]]</f>
        <v>1682.76</v>
      </c>
    </row>
    <row r="923" spans="1:15" x14ac:dyDescent="0.3">
      <c r="A923" t="s">
        <v>2798</v>
      </c>
      <c r="B923" s="1">
        <v>45131</v>
      </c>
      <c r="C923" t="s">
        <v>2799</v>
      </c>
      <c r="D923" t="s">
        <v>25</v>
      </c>
      <c r="E923">
        <v>1</v>
      </c>
      <c r="F923">
        <v>14965</v>
      </c>
      <c r="G923" s="9">
        <v>0.16</v>
      </c>
      <c r="H923" t="s">
        <v>45</v>
      </c>
      <c r="I923" t="s">
        <v>2800</v>
      </c>
      <c r="J923" s="14" t="s">
        <v>37</v>
      </c>
      <c r="K923">
        <v>3</v>
      </c>
      <c r="L923" t="s">
        <v>22</v>
      </c>
      <c r="M923">
        <f>Table1[[#This Row],[UnitPrice]]*Table1[[#This Row],[Quantity]]</f>
        <v>14965</v>
      </c>
      <c r="N923">
        <f>Table1[[#This Row],[Total Price]]*Table1[[#This Row],[Discount]]</f>
        <v>2394.4</v>
      </c>
      <c r="O923">
        <f>Table1[[#This Row],[Total Price]]-Table1[[#This Row],[Discount Amount]]</f>
        <v>12570.6</v>
      </c>
    </row>
    <row r="924" spans="1:15" x14ac:dyDescent="0.3">
      <c r="A924" t="s">
        <v>2801</v>
      </c>
      <c r="B924" s="1">
        <v>45460</v>
      </c>
      <c r="C924" t="s">
        <v>2802</v>
      </c>
      <c r="D924" t="s">
        <v>58</v>
      </c>
      <c r="E924">
        <v>3</v>
      </c>
      <c r="F924">
        <v>7613</v>
      </c>
      <c r="G924" s="9">
        <v>0.33</v>
      </c>
      <c r="H924" t="s">
        <v>26</v>
      </c>
      <c r="I924" t="s">
        <v>2803</v>
      </c>
      <c r="J924" s="13" t="s">
        <v>73</v>
      </c>
      <c r="K924">
        <v>3</v>
      </c>
      <c r="L924" t="s">
        <v>16</v>
      </c>
      <c r="M924">
        <f>Table1[[#This Row],[UnitPrice]]*Table1[[#This Row],[Quantity]]</f>
        <v>22839</v>
      </c>
      <c r="N924">
        <f>Table1[[#This Row],[Total Price]]*Table1[[#This Row],[Discount]]</f>
        <v>7536.8700000000008</v>
      </c>
      <c r="O924">
        <f>Table1[[#This Row],[Total Price]]-Table1[[#This Row],[Discount Amount]]</f>
        <v>15302.13</v>
      </c>
    </row>
    <row r="925" spans="1:15" x14ac:dyDescent="0.3">
      <c r="A925" t="s">
        <v>2804</v>
      </c>
      <c r="B925" s="1">
        <v>44968</v>
      </c>
      <c r="C925" t="s">
        <v>2805</v>
      </c>
      <c r="D925" t="s">
        <v>36</v>
      </c>
      <c r="E925">
        <v>3</v>
      </c>
      <c r="F925">
        <v>9248</v>
      </c>
      <c r="G925" s="9">
        <v>0.42</v>
      </c>
      <c r="H925" t="s">
        <v>26</v>
      </c>
      <c r="I925" t="s">
        <v>2806</v>
      </c>
      <c r="J925" s="14" t="s">
        <v>73</v>
      </c>
      <c r="K925">
        <v>7</v>
      </c>
      <c r="L925" t="s">
        <v>33</v>
      </c>
      <c r="M925">
        <f>Table1[[#This Row],[UnitPrice]]*Table1[[#This Row],[Quantity]]</f>
        <v>27744</v>
      </c>
      <c r="N925">
        <f>Table1[[#This Row],[Total Price]]*Table1[[#This Row],[Discount]]</f>
        <v>11652.48</v>
      </c>
      <c r="O925">
        <f>Table1[[#This Row],[Total Price]]-Table1[[#This Row],[Discount Amount]]</f>
        <v>16091.52</v>
      </c>
    </row>
    <row r="926" spans="1:15" x14ac:dyDescent="0.3">
      <c r="A926" t="s">
        <v>2807</v>
      </c>
      <c r="B926" s="1">
        <v>45738</v>
      </c>
      <c r="C926" t="s">
        <v>2808</v>
      </c>
      <c r="D926" t="s">
        <v>36</v>
      </c>
      <c r="E926">
        <v>2</v>
      </c>
      <c r="F926">
        <v>7644</v>
      </c>
      <c r="G926" s="9">
        <v>0.08</v>
      </c>
      <c r="H926" t="s">
        <v>50</v>
      </c>
      <c r="I926" t="s">
        <v>2809</v>
      </c>
      <c r="J926" s="13" t="s">
        <v>14</v>
      </c>
      <c r="K926">
        <v>5</v>
      </c>
      <c r="L926" t="s">
        <v>28</v>
      </c>
      <c r="M926">
        <f>Table1[[#This Row],[UnitPrice]]*Table1[[#This Row],[Quantity]]</f>
        <v>15288</v>
      </c>
      <c r="N926">
        <f>Table1[[#This Row],[Total Price]]*Table1[[#This Row],[Discount]]</f>
        <v>1223.04</v>
      </c>
      <c r="O926">
        <f>Table1[[#This Row],[Total Price]]-Table1[[#This Row],[Discount Amount]]</f>
        <v>14064.96</v>
      </c>
    </row>
    <row r="927" spans="1:15" x14ac:dyDescent="0.3">
      <c r="A927" t="s">
        <v>2810</v>
      </c>
      <c r="B927" s="1">
        <v>45646</v>
      </c>
      <c r="C927" t="s">
        <v>2811</v>
      </c>
      <c r="D927" t="s">
        <v>12</v>
      </c>
      <c r="E927">
        <v>1</v>
      </c>
      <c r="F927">
        <v>4226</v>
      </c>
      <c r="G927" s="9">
        <v>0.17</v>
      </c>
      <c r="H927" t="s">
        <v>20</v>
      </c>
      <c r="I927" t="s">
        <v>2812</v>
      </c>
      <c r="J927" s="14" t="s">
        <v>14</v>
      </c>
      <c r="K927">
        <v>10</v>
      </c>
      <c r="L927" t="s">
        <v>28</v>
      </c>
      <c r="M927">
        <f>Table1[[#This Row],[UnitPrice]]*Table1[[#This Row],[Quantity]]</f>
        <v>4226</v>
      </c>
      <c r="N927">
        <f>Table1[[#This Row],[Total Price]]*Table1[[#This Row],[Discount]]</f>
        <v>718.42000000000007</v>
      </c>
      <c r="O927">
        <f>Table1[[#This Row],[Total Price]]-Table1[[#This Row],[Discount Amount]]</f>
        <v>3507.58</v>
      </c>
    </row>
    <row r="928" spans="1:15" x14ac:dyDescent="0.3">
      <c r="A928" t="s">
        <v>2813</v>
      </c>
      <c r="B928" s="1">
        <v>45371</v>
      </c>
      <c r="C928" t="s">
        <v>2814</v>
      </c>
      <c r="D928" t="s">
        <v>58</v>
      </c>
      <c r="E928">
        <v>2</v>
      </c>
      <c r="F928">
        <v>6142</v>
      </c>
      <c r="G928" s="9">
        <v>0.33</v>
      </c>
      <c r="H928" t="s">
        <v>50</v>
      </c>
      <c r="I928" t="s">
        <v>2815</v>
      </c>
      <c r="J928" s="13" t="s">
        <v>37</v>
      </c>
      <c r="K928">
        <v>1</v>
      </c>
      <c r="L928" t="s">
        <v>28</v>
      </c>
      <c r="M928">
        <f>Table1[[#This Row],[UnitPrice]]*Table1[[#This Row],[Quantity]]</f>
        <v>12284</v>
      </c>
      <c r="N928">
        <f>Table1[[#This Row],[Total Price]]*Table1[[#This Row],[Discount]]</f>
        <v>4053.7200000000003</v>
      </c>
      <c r="O928">
        <f>Table1[[#This Row],[Total Price]]-Table1[[#This Row],[Discount Amount]]</f>
        <v>8230.2799999999988</v>
      </c>
    </row>
    <row r="929" spans="1:15" x14ac:dyDescent="0.3">
      <c r="A929" t="s">
        <v>2816</v>
      </c>
      <c r="B929" s="1">
        <v>44971</v>
      </c>
      <c r="C929" t="s">
        <v>2817</v>
      </c>
      <c r="D929" t="s">
        <v>44</v>
      </c>
      <c r="E929">
        <v>2</v>
      </c>
      <c r="F929">
        <v>40378</v>
      </c>
      <c r="G929" s="9">
        <v>0.38</v>
      </c>
      <c r="H929" t="s">
        <v>13</v>
      </c>
      <c r="I929" t="s">
        <v>2818</v>
      </c>
      <c r="J929" s="14" t="s">
        <v>14</v>
      </c>
      <c r="K929">
        <v>7</v>
      </c>
      <c r="L929" t="s">
        <v>60</v>
      </c>
      <c r="M929">
        <f>Table1[[#This Row],[UnitPrice]]*Table1[[#This Row],[Quantity]]</f>
        <v>80756</v>
      </c>
      <c r="N929">
        <f>Table1[[#This Row],[Total Price]]*Table1[[#This Row],[Discount]]</f>
        <v>30687.279999999999</v>
      </c>
      <c r="O929">
        <f>Table1[[#This Row],[Total Price]]-Table1[[#This Row],[Discount Amount]]</f>
        <v>50068.72</v>
      </c>
    </row>
    <row r="930" spans="1:15" x14ac:dyDescent="0.3">
      <c r="A930" t="s">
        <v>2819</v>
      </c>
      <c r="B930" s="1">
        <v>45421</v>
      </c>
      <c r="C930" t="s">
        <v>2820</v>
      </c>
      <c r="D930" t="s">
        <v>44</v>
      </c>
      <c r="E930">
        <v>3</v>
      </c>
      <c r="F930">
        <v>74800</v>
      </c>
      <c r="G930" s="9">
        <v>0.39</v>
      </c>
      <c r="H930" t="s">
        <v>13</v>
      </c>
      <c r="I930" t="s">
        <v>2821</v>
      </c>
      <c r="J930" s="13" t="s">
        <v>73</v>
      </c>
      <c r="K930">
        <v>3</v>
      </c>
      <c r="L930" t="s">
        <v>22</v>
      </c>
      <c r="M930">
        <f>Table1[[#This Row],[UnitPrice]]*Table1[[#This Row],[Quantity]]</f>
        <v>224400</v>
      </c>
      <c r="N930">
        <f>Table1[[#This Row],[Total Price]]*Table1[[#This Row],[Discount]]</f>
        <v>87516</v>
      </c>
      <c r="O930">
        <f>Table1[[#This Row],[Total Price]]-Table1[[#This Row],[Discount Amount]]</f>
        <v>136884</v>
      </c>
    </row>
    <row r="931" spans="1:15" x14ac:dyDescent="0.3">
      <c r="A931" t="s">
        <v>2822</v>
      </c>
      <c r="B931" s="1">
        <v>45581</v>
      </c>
      <c r="C931" t="s">
        <v>2823</v>
      </c>
      <c r="D931" t="s">
        <v>25</v>
      </c>
      <c r="E931">
        <v>3</v>
      </c>
      <c r="F931">
        <v>16489</v>
      </c>
      <c r="G931" s="9">
        <v>0.33</v>
      </c>
      <c r="H931" t="s">
        <v>13</v>
      </c>
      <c r="I931" t="s">
        <v>2824</v>
      </c>
      <c r="J931" s="14" t="s">
        <v>73</v>
      </c>
      <c r="K931">
        <v>3</v>
      </c>
      <c r="L931" t="s">
        <v>28</v>
      </c>
      <c r="M931">
        <f>Table1[[#This Row],[UnitPrice]]*Table1[[#This Row],[Quantity]]</f>
        <v>49467</v>
      </c>
      <c r="N931">
        <f>Table1[[#This Row],[Total Price]]*Table1[[#This Row],[Discount]]</f>
        <v>16324.11</v>
      </c>
      <c r="O931">
        <f>Table1[[#This Row],[Total Price]]-Table1[[#This Row],[Discount Amount]]</f>
        <v>33142.89</v>
      </c>
    </row>
    <row r="932" spans="1:15" x14ac:dyDescent="0.3">
      <c r="A932" t="s">
        <v>2825</v>
      </c>
      <c r="B932" s="1">
        <v>45642</v>
      </c>
      <c r="C932" t="s">
        <v>2826</v>
      </c>
      <c r="D932" t="s">
        <v>19</v>
      </c>
      <c r="E932">
        <v>2</v>
      </c>
      <c r="F932">
        <v>33598</v>
      </c>
      <c r="G932" s="9">
        <v>0.24</v>
      </c>
      <c r="H932" t="s">
        <v>13</v>
      </c>
      <c r="I932" t="s">
        <v>2827</v>
      </c>
      <c r="J932" s="13" t="s">
        <v>14</v>
      </c>
      <c r="K932">
        <v>4</v>
      </c>
      <c r="L932" t="s">
        <v>28</v>
      </c>
      <c r="M932">
        <f>Table1[[#This Row],[UnitPrice]]*Table1[[#This Row],[Quantity]]</f>
        <v>67196</v>
      </c>
      <c r="N932">
        <f>Table1[[#This Row],[Total Price]]*Table1[[#This Row],[Discount]]</f>
        <v>16127.039999999999</v>
      </c>
      <c r="O932">
        <f>Table1[[#This Row],[Total Price]]-Table1[[#This Row],[Discount Amount]]</f>
        <v>51068.959999999999</v>
      </c>
    </row>
    <row r="933" spans="1:15" x14ac:dyDescent="0.3">
      <c r="A933" t="s">
        <v>2828</v>
      </c>
      <c r="B933" s="1">
        <v>45292</v>
      </c>
      <c r="C933" t="s">
        <v>2829</v>
      </c>
      <c r="D933" t="s">
        <v>36</v>
      </c>
      <c r="E933">
        <v>2</v>
      </c>
      <c r="F933">
        <v>6614</v>
      </c>
      <c r="G933" s="9">
        <v>0.32</v>
      </c>
      <c r="H933" t="s">
        <v>26</v>
      </c>
      <c r="I933" t="s">
        <v>2830</v>
      </c>
      <c r="J933" s="14" t="s">
        <v>37</v>
      </c>
      <c r="K933">
        <v>4</v>
      </c>
      <c r="L933" t="s">
        <v>60</v>
      </c>
      <c r="M933">
        <f>Table1[[#This Row],[UnitPrice]]*Table1[[#This Row],[Quantity]]</f>
        <v>13228</v>
      </c>
      <c r="N933">
        <f>Table1[[#This Row],[Total Price]]*Table1[[#This Row],[Discount]]</f>
        <v>4232.96</v>
      </c>
      <c r="O933">
        <f>Table1[[#This Row],[Total Price]]-Table1[[#This Row],[Discount Amount]]</f>
        <v>8995.0400000000009</v>
      </c>
    </row>
    <row r="934" spans="1:15" x14ac:dyDescent="0.3">
      <c r="A934" t="s">
        <v>2831</v>
      </c>
      <c r="B934" s="1">
        <v>45011</v>
      </c>
      <c r="C934" t="s">
        <v>2832</v>
      </c>
      <c r="D934" t="s">
        <v>44</v>
      </c>
      <c r="E934">
        <v>2</v>
      </c>
      <c r="F934">
        <v>40886</v>
      </c>
      <c r="G934" s="9">
        <v>7.0000000000000007E-2</v>
      </c>
      <c r="H934" t="s">
        <v>20</v>
      </c>
      <c r="I934" t="s">
        <v>2833</v>
      </c>
      <c r="J934" s="13" t="s">
        <v>37</v>
      </c>
      <c r="K934">
        <v>7</v>
      </c>
      <c r="L934" t="s">
        <v>16</v>
      </c>
      <c r="M934">
        <f>Table1[[#This Row],[UnitPrice]]*Table1[[#This Row],[Quantity]]</f>
        <v>81772</v>
      </c>
      <c r="N934">
        <f>Table1[[#This Row],[Total Price]]*Table1[[#This Row],[Discount]]</f>
        <v>5724.0400000000009</v>
      </c>
      <c r="O934">
        <f>Table1[[#This Row],[Total Price]]-Table1[[#This Row],[Discount Amount]]</f>
        <v>76047.959999999992</v>
      </c>
    </row>
    <row r="935" spans="1:15" x14ac:dyDescent="0.3">
      <c r="A935" t="s">
        <v>2834</v>
      </c>
      <c r="B935" s="1">
        <v>44952</v>
      </c>
      <c r="C935" t="s">
        <v>2835</v>
      </c>
      <c r="D935" t="s">
        <v>12</v>
      </c>
      <c r="E935">
        <v>2</v>
      </c>
      <c r="F935">
        <v>6062</v>
      </c>
      <c r="G935" s="9">
        <v>0.1</v>
      </c>
      <c r="H935" t="s">
        <v>20</v>
      </c>
      <c r="I935" t="s">
        <v>2836</v>
      </c>
      <c r="J935" s="14" t="s">
        <v>14</v>
      </c>
      <c r="K935">
        <v>2</v>
      </c>
      <c r="L935" t="s">
        <v>22</v>
      </c>
      <c r="M935">
        <f>Table1[[#This Row],[UnitPrice]]*Table1[[#This Row],[Quantity]]</f>
        <v>12124</v>
      </c>
      <c r="N935">
        <f>Table1[[#This Row],[Total Price]]*Table1[[#This Row],[Discount]]</f>
        <v>1212.4000000000001</v>
      </c>
      <c r="O935">
        <f>Table1[[#This Row],[Total Price]]-Table1[[#This Row],[Discount Amount]]</f>
        <v>10911.6</v>
      </c>
    </row>
    <row r="936" spans="1:15" x14ac:dyDescent="0.3">
      <c r="A936" t="s">
        <v>2837</v>
      </c>
      <c r="B936" s="1">
        <v>45809</v>
      </c>
      <c r="C936" t="s">
        <v>2838</v>
      </c>
      <c r="D936" t="s">
        <v>44</v>
      </c>
      <c r="E936">
        <v>2</v>
      </c>
      <c r="F936">
        <v>70604</v>
      </c>
      <c r="G936" s="9">
        <v>0.46</v>
      </c>
      <c r="H936" t="s">
        <v>45</v>
      </c>
      <c r="I936" t="s">
        <v>2839</v>
      </c>
      <c r="J936" s="13" t="s">
        <v>14</v>
      </c>
      <c r="K936">
        <v>8</v>
      </c>
      <c r="L936" t="s">
        <v>22</v>
      </c>
      <c r="M936">
        <f>Table1[[#This Row],[UnitPrice]]*Table1[[#This Row],[Quantity]]</f>
        <v>141208</v>
      </c>
      <c r="N936">
        <f>Table1[[#This Row],[Total Price]]*Table1[[#This Row],[Discount]]</f>
        <v>64955.68</v>
      </c>
      <c r="O936">
        <f>Table1[[#This Row],[Total Price]]-Table1[[#This Row],[Discount Amount]]</f>
        <v>76252.320000000007</v>
      </c>
    </row>
    <row r="937" spans="1:15" x14ac:dyDescent="0.3">
      <c r="A937" t="s">
        <v>2840</v>
      </c>
      <c r="B937" s="1">
        <v>45254</v>
      </c>
      <c r="C937" t="s">
        <v>2841</v>
      </c>
      <c r="D937" t="s">
        <v>19</v>
      </c>
      <c r="E937">
        <v>3</v>
      </c>
      <c r="F937">
        <v>38100</v>
      </c>
      <c r="G937" s="9">
        <v>0.46</v>
      </c>
      <c r="H937" t="s">
        <v>26</v>
      </c>
      <c r="I937" t="s">
        <v>2842</v>
      </c>
      <c r="J937" s="14" t="s">
        <v>37</v>
      </c>
      <c r="K937">
        <v>3</v>
      </c>
      <c r="L937" t="s">
        <v>16</v>
      </c>
      <c r="M937">
        <f>Table1[[#This Row],[UnitPrice]]*Table1[[#This Row],[Quantity]]</f>
        <v>114300</v>
      </c>
      <c r="N937">
        <f>Table1[[#This Row],[Total Price]]*Table1[[#This Row],[Discount]]</f>
        <v>52578</v>
      </c>
      <c r="O937">
        <f>Table1[[#This Row],[Total Price]]-Table1[[#This Row],[Discount Amount]]</f>
        <v>61722</v>
      </c>
    </row>
    <row r="938" spans="1:15" x14ac:dyDescent="0.3">
      <c r="A938" t="s">
        <v>2843</v>
      </c>
      <c r="B938" s="1">
        <v>45303</v>
      </c>
      <c r="C938" t="s">
        <v>2844</v>
      </c>
      <c r="D938" t="s">
        <v>31</v>
      </c>
      <c r="E938">
        <v>2</v>
      </c>
      <c r="F938">
        <v>36002</v>
      </c>
      <c r="G938" s="9">
        <v>0.36</v>
      </c>
      <c r="H938" t="s">
        <v>20</v>
      </c>
      <c r="I938" t="s">
        <v>2845</v>
      </c>
      <c r="J938" s="13" t="s">
        <v>37</v>
      </c>
      <c r="K938">
        <v>4</v>
      </c>
      <c r="L938" t="s">
        <v>16</v>
      </c>
      <c r="M938">
        <f>Table1[[#This Row],[UnitPrice]]*Table1[[#This Row],[Quantity]]</f>
        <v>72004</v>
      </c>
      <c r="N938">
        <f>Table1[[#This Row],[Total Price]]*Table1[[#This Row],[Discount]]</f>
        <v>25921.439999999999</v>
      </c>
      <c r="O938">
        <f>Table1[[#This Row],[Total Price]]-Table1[[#This Row],[Discount Amount]]</f>
        <v>46082.559999999998</v>
      </c>
    </row>
    <row r="939" spans="1:15" x14ac:dyDescent="0.3">
      <c r="A939" t="s">
        <v>2846</v>
      </c>
      <c r="B939" s="1">
        <v>45307</v>
      </c>
      <c r="C939" t="s">
        <v>2847</v>
      </c>
      <c r="D939" t="s">
        <v>31</v>
      </c>
      <c r="E939">
        <v>2</v>
      </c>
      <c r="F939">
        <v>34878</v>
      </c>
      <c r="G939" s="9">
        <v>0.16</v>
      </c>
      <c r="H939" t="s">
        <v>13</v>
      </c>
      <c r="I939" t="s">
        <v>2848</v>
      </c>
      <c r="J939" s="14" t="s">
        <v>37</v>
      </c>
      <c r="K939">
        <v>5</v>
      </c>
      <c r="L939" t="s">
        <v>28</v>
      </c>
      <c r="M939">
        <f>Table1[[#This Row],[UnitPrice]]*Table1[[#This Row],[Quantity]]</f>
        <v>69756</v>
      </c>
      <c r="N939">
        <f>Table1[[#This Row],[Total Price]]*Table1[[#This Row],[Discount]]</f>
        <v>11160.960000000001</v>
      </c>
      <c r="O939">
        <f>Table1[[#This Row],[Total Price]]-Table1[[#This Row],[Discount Amount]]</f>
        <v>58595.040000000001</v>
      </c>
    </row>
    <row r="940" spans="1:15" x14ac:dyDescent="0.3">
      <c r="A940" t="s">
        <v>2849</v>
      </c>
      <c r="B940" s="1">
        <v>45119</v>
      </c>
      <c r="C940" t="s">
        <v>2850</v>
      </c>
      <c r="D940" t="s">
        <v>31</v>
      </c>
      <c r="E940">
        <v>1</v>
      </c>
      <c r="F940">
        <v>30434</v>
      </c>
      <c r="G940" s="9">
        <v>0.32</v>
      </c>
      <c r="H940" t="s">
        <v>26</v>
      </c>
      <c r="I940" t="s">
        <v>2851</v>
      </c>
      <c r="J940" s="13" t="s">
        <v>73</v>
      </c>
      <c r="K940">
        <v>6</v>
      </c>
      <c r="L940" t="s">
        <v>22</v>
      </c>
      <c r="M940">
        <f>Table1[[#This Row],[UnitPrice]]*Table1[[#This Row],[Quantity]]</f>
        <v>30434</v>
      </c>
      <c r="N940">
        <f>Table1[[#This Row],[Total Price]]*Table1[[#This Row],[Discount]]</f>
        <v>9738.880000000001</v>
      </c>
      <c r="O940">
        <f>Table1[[#This Row],[Total Price]]-Table1[[#This Row],[Discount Amount]]</f>
        <v>20695.12</v>
      </c>
    </row>
    <row r="941" spans="1:15" x14ac:dyDescent="0.3">
      <c r="A941" t="s">
        <v>2852</v>
      </c>
      <c r="B941" s="1">
        <v>45763</v>
      </c>
      <c r="C941" t="s">
        <v>2853</v>
      </c>
      <c r="D941" t="s">
        <v>44</v>
      </c>
      <c r="E941">
        <v>3</v>
      </c>
      <c r="F941">
        <v>64525</v>
      </c>
      <c r="G941" s="9">
        <v>0.34</v>
      </c>
      <c r="H941" t="s">
        <v>50</v>
      </c>
      <c r="I941" t="s">
        <v>2854</v>
      </c>
      <c r="J941" s="14" t="s">
        <v>37</v>
      </c>
      <c r="K941">
        <v>7</v>
      </c>
      <c r="L941" t="s">
        <v>16</v>
      </c>
      <c r="M941">
        <f>Table1[[#This Row],[UnitPrice]]*Table1[[#This Row],[Quantity]]</f>
        <v>193575</v>
      </c>
      <c r="N941">
        <f>Table1[[#This Row],[Total Price]]*Table1[[#This Row],[Discount]]</f>
        <v>65815.5</v>
      </c>
      <c r="O941">
        <f>Table1[[#This Row],[Total Price]]-Table1[[#This Row],[Discount Amount]]</f>
        <v>127759.5</v>
      </c>
    </row>
    <row r="942" spans="1:15" x14ac:dyDescent="0.3">
      <c r="A942" t="s">
        <v>2855</v>
      </c>
      <c r="B942" s="1">
        <v>45012</v>
      </c>
      <c r="C942" t="s">
        <v>2856</v>
      </c>
      <c r="D942" t="s">
        <v>36</v>
      </c>
      <c r="E942">
        <v>1</v>
      </c>
      <c r="F942">
        <v>6731</v>
      </c>
      <c r="G942" s="9">
        <v>0.26</v>
      </c>
      <c r="H942" t="s">
        <v>20</v>
      </c>
      <c r="I942" t="s">
        <v>2857</v>
      </c>
      <c r="J942" s="13" t="s">
        <v>37</v>
      </c>
      <c r="K942">
        <v>4</v>
      </c>
      <c r="L942" t="s">
        <v>60</v>
      </c>
      <c r="M942">
        <f>Table1[[#This Row],[UnitPrice]]*Table1[[#This Row],[Quantity]]</f>
        <v>6731</v>
      </c>
      <c r="N942">
        <f>Table1[[#This Row],[Total Price]]*Table1[[#This Row],[Discount]]</f>
        <v>1750.0600000000002</v>
      </c>
      <c r="O942">
        <f>Table1[[#This Row],[Total Price]]-Table1[[#This Row],[Discount Amount]]</f>
        <v>4980.9399999999996</v>
      </c>
    </row>
    <row r="943" spans="1:15" x14ac:dyDescent="0.3">
      <c r="A943" t="s">
        <v>2858</v>
      </c>
      <c r="B943" s="1">
        <v>45124</v>
      </c>
      <c r="C943" t="s">
        <v>1357</v>
      </c>
      <c r="D943" t="s">
        <v>36</v>
      </c>
      <c r="E943">
        <v>3</v>
      </c>
      <c r="F943">
        <v>8347</v>
      </c>
      <c r="G943" s="9">
        <v>0.37</v>
      </c>
      <c r="H943" t="s">
        <v>26</v>
      </c>
      <c r="I943" t="s">
        <v>2859</v>
      </c>
      <c r="J943" s="14" t="s">
        <v>37</v>
      </c>
      <c r="K943">
        <v>9</v>
      </c>
      <c r="L943" t="s">
        <v>28</v>
      </c>
      <c r="M943">
        <f>Table1[[#This Row],[UnitPrice]]*Table1[[#This Row],[Quantity]]</f>
        <v>25041</v>
      </c>
      <c r="N943">
        <f>Table1[[#This Row],[Total Price]]*Table1[[#This Row],[Discount]]</f>
        <v>9265.17</v>
      </c>
      <c r="O943">
        <f>Table1[[#This Row],[Total Price]]-Table1[[#This Row],[Discount Amount]]</f>
        <v>15775.83</v>
      </c>
    </row>
    <row r="944" spans="1:15" x14ac:dyDescent="0.3">
      <c r="A944" t="s">
        <v>2860</v>
      </c>
      <c r="B944" s="1">
        <v>45198</v>
      </c>
      <c r="C944" t="s">
        <v>2861</v>
      </c>
      <c r="D944" t="s">
        <v>25</v>
      </c>
      <c r="E944">
        <v>3</v>
      </c>
      <c r="F944">
        <v>4817</v>
      </c>
      <c r="G944" s="9">
        <v>0.01</v>
      </c>
      <c r="H944" t="s">
        <v>26</v>
      </c>
      <c r="I944" t="s">
        <v>2862</v>
      </c>
      <c r="J944" s="13" t="s">
        <v>73</v>
      </c>
      <c r="K944">
        <v>1</v>
      </c>
      <c r="L944" t="s">
        <v>28</v>
      </c>
      <c r="M944">
        <f>Table1[[#This Row],[UnitPrice]]*Table1[[#This Row],[Quantity]]</f>
        <v>14451</v>
      </c>
      <c r="N944">
        <f>Table1[[#This Row],[Total Price]]*Table1[[#This Row],[Discount]]</f>
        <v>144.51</v>
      </c>
      <c r="O944">
        <f>Table1[[#This Row],[Total Price]]-Table1[[#This Row],[Discount Amount]]</f>
        <v>14306.49</v>
      </c>
    </row>
    <row r="945" spans="1:15" x14ac:dyDescent="0.3">
      <c r="A945" t="s">
        <v>2863</v>
      </c>
      <c r="B945" s="1">
        <v>45287</v>
      </c>
      <c r="C945" t="s">
        <v>2864</v>
      </c>
      <c r="D945" t="s">
        <v>12</v>
      </c>
      <c r="E945">
        <v>1</v>
      </c>
      <c r="F945">
        <v>6591</v>
      </c>
      <c r="G945" s="9">
        <v>0.13</v>
      </c>
      <c r="H945" t="s">
        <v>45</v>
      </c>
      <c r="I945" t="s">
        <v>2865</v>
      </c>
      <c r="J945" s="14" t="s">
        <v>14</v>
      </c>
      <c r="K945">
        <v>6</v>
      </c>
      <c r="L945" t="s">
        <v>33</v>
      </c>
      <c r="M945">
        <f>Table1[[#This Row],[UnitPrice]]*Table1[[#This Row],[Quantity]]</f>
        <v>6591</v>
      </c>
      <c r="N945">
        <f>Table1[[#This Row],[Total Price]]*Table1[[#This Row],[Discount]]</f>
        <v>856.83</v>
      </c>
      <c r="O945">
        <f>Table1[[#This Row],[Total Price]]-Table1[[#This Row],[Discount Amount]]</f>
        <v>5734.17</v>
      </c>
    </row>
    <row r="946" spans="1:15" x14ac:dyDescent="0.3">
      <c r="A946" t="s">
        <v>2866</v>
      </c>
      <c r="B946" s="1">
        <v>45642</v>
      </c>
      <c r="C946" t="s">
        <v>2867</v>
      </c>
      <c r="D946" t="s">
        <v>44</v>
      </c>
      <c r="E946">
        <v>3</v>
      </c>
      <c r="F946">
        <v>60401</v>
      </c>
      <c r="G946" s="9">
        <v>0.4</v>
      </c>
      <c r="H946" t="s">
        <v>20</v>
      </c>
      <c r="I946" t="s">
        <v>2868</v>
      </c>
      <c r="J946" s="13" t="s">
        <v>37</v>
      </c>
      <c r="K946">
        <v>7</v>
      </c>
      <c r="L946" t="s">
        <v>60</v>
      </c>
      <c r="M946">
        <f>Table1[[#This Row],[UnitPrice]]*Table1[[#This Row],[Quantity]]</f>
        <v>181203</v>
      </c>
      <c r="N946">
        <f>Table1[[#This Row],[Total Price]]*Table1[[#This Row],[Discount]]</f>
        <v>72481.2</v>
      </c>
      <c r="O946">
        <f>Table1[[#This Row],[Total Price]]-Table1[[#This Row],[Discount Amount]]</f>
        <v>108721.8</v>
      </c>
    </row>
    <row r="947" spans="1:15" x14ac:dyDescent="0.3">
      <c r="A947" t="s">
        <v>2869</v>
      </c>
      <c r="B947" s="1">
        <v>45158</v>
      </c>
      <c r="C947" t="s">
        <v>2870</v>
      </c>
      <c r="D947" t="s">
        <v>25</v>
      </c>
      <c r="E947">
        <v>2</v>
      </c>
      <c r="F947">
        <v>18715</v>
      </c>
      <c r="G947" s="9">
        <v>0.47</v>
      </c>
      <c r="H947" t="s">
        <v>45</v>
      </c>
      <c r="I947" t="s">
        <v>2871</v>
      </c>
      <c r="J947" s="14" t="s">
        <v>14</v>
      </c>
      <c r="K947">
        <v>10</v>
      </c>
      <c r="L947" t="s">
        <v>22</v>
      </c>
      <c r="M947">
        <f>Table1[[#This Row],[UnitPrice]]*Table1[[#This Row],[Quantity]]</f>
        <v>37430</v>
      </c>
      <c r="N947">
        <f>Table1[[#This Row],[Total Price]]*Table1[[#This Row],[Discount]]</f>
        <v>17592.099999999999</v>
      </c>
      <c r="O947">
        <f>Table1[[#This Row],[Total Price]]-Table1[[#This Row],[Discount Amount]]</f>
        <v>19837.900000000001</v>
      </c>
    </row>
    <row r="948" spans="1:15" x14ac:dyDescent="0.3">
      <c r="A948" t="s">
        <v>2872</v>
      </c>
      <c r="B948" s="1">
        <v>45416</v>
      </c>
      <c r="C948" t="s">
        <v>2873</v>
      </c>
      <c r="D948" t="s">
        <v>19</v>
      </c>
      <c r="E948">
        <v>3</v>
      </c>
      <c r="F948">
        <v>44642</v>
      </c>
      <c r="G948" s="9">
        <v>0.44</v>
      </c>
      <c r="H948" t="s">
        <v>50</v>
      </c>
      <c r="I948" t="s">
        <v>2874</v>
      </c>
      <c r="J948" s="13" t="s">
        <v>14</v>
      </c>
      <c r="K948">
        <v>4</v>
      </c>
      <c r="L948" t="s">
        <v>28</v>
      </c>
      <c r="M948">
        <f>Table1[[#This Row],[UnitPrice]]*Table1[[#This Row],[Quantity]]</f>
        <v>133926</v>
      </c>
      <c r="N948">
        <f>Table1[[#This Row],[Total Price]]*Table1[[#This Row],[Discount]]</f>
        <v>58927.44</v>
      </c>
      <c r="O948">
        <f>Table1[[#This Row],[Total Price]]-Table1[[#This Row],[Discount Amount]]</f>
        <v>74998.559999999998</v>
      </c>
    </row>
    <row r="949" spans="1:15" x14ac:dyDescent="0.3">
      <c r="A949" t="s">
        <v>2875</v>
      </c>
      <c r="B949" s="1">
        <v>45176</v>
      </c>
      <c r="C949" t="s">
        <v>2876</v>
      </c>
      <c r="D949" t="s">
        <v>19</v>
      </c>
      <c r="E949">
        <v>2</v>
      </c>
      <c r="F949">
        <v>41788</v>
      </c>
      <c r="G949" s="9">
        <v>0.36</v>
      </c>
      <c r="H949" t="s">
        <v>20</v>
      </c>
      <c r="I949" t="s">
        <v>2877</v>
      </c>
      <c r="J949" s="14" t="s">
        <v>73</v>
      </c>
      <c r="K949">
        <v>9</v>
      </c>
      <c r="L949" t="s">
        <v>28</v>
      </c>
      <c r="M949">
        <f>Table1[[#This Row],[UnitPrice]]*Table1[[#This Row],[Quantity]]</f>
        <v>83576</v>
      </c>
      <c r="N949">
        <f>Table1[[#This Row],[Total Price]]*Table1[[#This Row],[Discount]]</f>
        <v>30087.360000000001</v>
      </c>
      <c r="O949">
        <f>Table1[[#This Row],[Total Price]]-Table1[[#This Row],[Discount Amount]]</f>
        <v>53488.639999999999</v>
      </c>
    </row>
    <row r="950" spans="1:15" x14ac:dyDescent="0.3">
      <c r="A950" t="s">
        <v>2878</v>
      </c>
      <c r="B950" s="1">
        <v>45464</v>
      </c>
      <c r="C950" t="s">
        <v>1375</v>
      </c>
      <c r="D950" t="s">
        <v>19</v>
      </c>
      <c r="E950">
        <v>2</v>
      </c>
      <c r="F950">
        <v>28608</v>
      </c>
      <c r="G950" s="9">
        <v>0.08</v>
      </c>
      <c r="H950" t="s">
        <v>45</v>
      </c>
      <c r="I950" t="s">
        <v>2879</v>
      </c>
      <c r="J950" s="13" t="s">
        <v>73</v>
      </c>
      <c r="K950">
        <v>2</v>
      </c>
      <c r="L950" t="s">
        <v>60</v>
      </c>
      <c r="M950">
        <f>Table1[[#This Row],[UnitPrice]]*Table1[[#This Row],[Quantity]]</f>
        <v>57216</v>
      </c>
      <c r="N950">
        <f>Table1[[#This Row],[Total Price]]*Table1[[#This Row],[Discount]]</f>
        <v>4577.28</v>
      </c>
      <c r="O950">
        <f>Table1[[#This Row],[Total Price]]-Table1[[#This Row],[Discount Amount]]</f>
        <v>52638.720000000001</v>
      </c>
    </row>
    <row r="951" spans="1:15" x14ac:dyDescent="0.3">
      <c r="A951" t="s">
        <v>2880</v>
      </c>
      <c r="B951" s="1">
        <v>45239</v>
      </c>
      <c r="C951" t="s">
        <v>2881</v>
      </c>
      <c r="D951" t="s">
        <v>58</v>
      </c>
      <c r="E951">
        <v>1</v>
      </c>
      <c r="F951">
        <v>8787</v>
      </c>
      <c r="G951" s="9">
        <v>0.18</v>
      </c>
      <c r="H951" t="s">
        <v>50</v>
      </c>
      <c r="I951" t="s">
        <v>2882</v>
      </c>
      <c r="J951" s="14" t="s">
        <v>73</v>
      </c>
      <c r="K951">
        <v>10</v>
      </c>
      <c r="L951" t="s">
        <v>22</v>
      </c>
      <c r="M951">
        <f>Table1[[#This Row],[UnitPrice]]*Table1[[#This Row],[Quantity]]</f>
        <v>8787</v>
      </c>
      <c r="N951">
        <f>Table1[[#This Row],[Total Price]]*Table1[[#This Row],[Discount]]</f>
        <v>1581.6599999999999</v>
      </c>
      <c r="O951">
        <f>Table1[[#This Row],[Total Price]]-Table1[[#This Row],[Discount Amount]]</f>
        <v>7205.34</v>
      </c>
    </row>
    <row r="952" spans="1:15" x14ac:dyDescent="0.3">
      <c r="A952" t="s">
        <v>2883</v>
      </c>
      <c r="B952" s="1">
        <v>45443</v>
      </c>
      <c r="C952" t="s">
        <v>2884</v>
      </c>
      <c r="D952" t="s">
        <v>44</v>
      </c>
      <c r="E952">
        <v>3</v>
      </c>
      <c r="F952">
        <v>31347</v>
      </c>
      <c r="G952" s="9">
        <v>0.03</v>
      </c>
      <c r="H952" t="s">
        <v>26</v>
      </c>
      <c r="I952" t="s">
        <v>2885</v>
      </c>
      <c r="J952" s="13" t="s">
        <v>37</v>
      </c>
      <c r="K952">
        <v>4</v>
      </c>
      <c r="L952" t="s">
        <v>16</v>
      </c>
      <c r="M952">
        <f>Table1[[#This Row],[UnitPrice]]*Table1[[#This Row],[Quantity]]</f>
        <v>94041</v>
      </c>
      <c r="N952">
        <f>Table1[[#This Row],[Total Price]]*Table1[[#This Row],[Discount]]</f>
        <v>2821.23</v>
      </c>
      <c r="O952">
        <f>Table1[[#This Row],[Total Price]]-Table1[[#This Row],[Discount Amount]]</f>
        <v>91219.77</v>
      </c>
    </row>
    <row r="953" spans="1:15" x14ac:dyDescent="0.3">
      <c r="A953" t="s">
        <v>2886</v>
      </c>
      <c r="B953" s="1">
        <v>45495</v>
      </c>
      <c r="C953" t="s">
        <v>2887</v>
      </c>
      <c r="D953" t="s">
        <v>36</v>
      </c>
      <c r="E953">
        <v>1</v>
      </c>
      <c r="F953">
        <v>8249</v>
      </c>
      <c r="G953" s="9">
        <v>0.32</v>
      </c>
      <c r="H953" t="s">
        <v>20</v>
      </c>
      <c r="I953" t="s">
        <v>2888</v>
      </c>
      <c r="J953" s="14" t="s">
        <v>73</v>
      </c>
      <c r="K953">
        <v>4</v>
      </c>
      <c r="L953" t="s">
        <v>28</v>
      </c>
      <c r="M953">
        <f>Table1[[#This Row],[UnitPrice]]*Table1[[#This Row],[Quantity]]</f>
        <v>8249</v>
      </c>
      <c r="N953">
        <f>Table1[[#This Row],[Total Price]]*Table1[[#This Row],[Discount]]</f>
        <v>2639.68</v>
      </c>
      <c r="O953">
        <f>Table1[[#This Row],[Total Price]]-Table1[[#This Row],[Discount Amount]]</f>
        <v>5609.32</v>
      </c>
    </row>
    <row r="954" spans="1:15" x14ac:dyDescent="0.3">
      <c r="A954" t="s">
        <v>2889</v>
      </c>
      <c r="B954" s="1">
        <v>45715</v>
      </c>
      <c r="C954" t="s">
        <v>2890</v>
      </c>
      <c r="D954" t="s">
        <v>12</v>
      </c>
      <c r="E954">
        <v>2</v>
      </c>
      <c r="F954">
        <v>9874</v>
      </c>
      <c r="G954" s="9">
        <v>0.22</v>
      </c>
      <c r="H954" t="s">
        <v>20</v>
      </c>
      <c r="I954" t="s">
        <v>2891</v>
      </c>
      <c r="J954" s="13" t="s">
        <v>73</v>
      </c>
      <c r="K954">
        <v>5</v>
      </c>
      <c r="L954" t="s">
        <v>33</v>
      </c>
      <c r="M954">
        <f>Table1[[#This Row],[UnitPrice]]*Table1[[#This Row],[Quantity]]</f>
        <v>19748</v>
      </c>
      <c r="N954">
        <f>Table1[[#This Row],[Total Price]]*Table1[[#This Row],[Discount]]</f>
        <v>4344.5600000000004</v>
      </c>
      <c r="O954">
        <f>Table1[[#This Row],[Total Price]]-Table1[[#This Row],[Discount Amount]]</f>
        <v>15403.439999999999</v>
      </c>
    </row>
    <row r="955" spans="1:15" x14ac:dyDescent="0.3">
      <c r="A955" t="s">
        <v>2892</v>
      </c>
      <c r="B955" s="1">
        <v>44963</v>
      </c>
      <c r="C955" t="s">
        <v>2893</v>
      </c>
      <c r="D955" t="s">
        <v>19</v>
      </c>
      <c r="E955">
        <v>1</v>
      </c>
      <c r="F955">
        <v>39973</v>
      </c>
      <c r="G955" s="9">
        <v>0.28999999999999998</v>
      </c>
      <c r="H955" t="s">
        <v>50</v>
      </c>
      <c r="I955" t="s">
        <v>2894</v>
      </c>
      <c r="J955" s="14" t="s">
        <v>14</v>
      </c>
      <c r="K955">
        <v>2</v>
      </c>
      <c r="L955" t="s">
        <v>33</v>
      </c>
      <c r="M955">
        <f>Table1[[#This Row],[UnitPrice]]*Table1[[#This Row],[Quantity]]</f>
        <v>39973</v>
      </c>
      <c r="N955">
        <f>Table1[[#This Row],[Total Price]]*Table1[[#This Row],[Discount]]</f>
        <v>11592.17</v>
      </c>
      <c r="O955">
        <f>Table1[[#This Row],[Total Price]]-Table1[[#This Row],[Discount Amount]]</f>
        <v>28380.83</v>
      </c>
    </row>
    <row r="956" spans="1:15" x14ac:dyDescent="0.3">
      <c r="A956" t="s">
        <v>2895</v>
      </c>
      <c r="B956" s="1">
        <v>45587</v>
      </c>
      <c r="C956" t="s">
        <v>2896</v>
      </c>
      <c r="D956" t="s">
        <v>31</v>
      </c>
      <c r="E956">
        <v>2</v>
      </c>
      <c r="F956">
        <v>15526</v>
      </c>
      <c r="G956" s="9">
        <v>0.49</v>
      </c>
      <c r="H956" t="s">
        <v>45</v>
      </c>
      <c r="I956" t="s">
        <v>2897</v>
      </c>
      <c r="J956" s="13" t="s">
        <v>14</v>
      </c>
      <c r="K956">
        <v>3</v>
      </c>
      <c r="L956" t="s">
        <v>60</v>
      </c>
      <c r="M956">
        <f>Table1[[#This Row],[UnitPrice]]*Table1[[#This Row],[Quantity]]</f>
        <v>31052</v>
      </c>
      <c r="N956">
        <f>Table1[[#This Row],[Total Price]]*Table1[[#This Row],[Discount]]</f>
        <v>15215.48</v>
      </c>
      <c r="O956">
        <f>Table1[[#This Row],[Total Price]]-Table1[[#This Row],[Discount Amount]]</f>
        <v>15836.52</v>
      </c>
    </row>
    <row r="957" spans="1:15" x14ac:dyDescent="0.3">
      <c r="A957" t="s">
        <v>2898</v>
      </c>
      <c r="B957" s="1">
        <v>44949</v>
      </c>
      <c r="C957" t="s">
        <v>2899</v>
      </c>
      <c r="D957" t="s">
        <v>31</v>
      </c>
      <c r="E957">
        <v>2</v>
      </c>
      <c r="F957">
        <v>29593</v>
      </c>
      <c r="G957" s="9">
        <v>0.2</v>
      </c>
      <c r="H957" t="s">
        <v>45</v>
      </c>
      <c r="I957" t="s">
        <v>2900</v>
      </c>
      <c r="J957" s="14" t="s">
        <v>14</v>
      </c>
      <c r="K957">
        <v>3</v>
      </c>
      <c r="L957" t="s">
        <v>16</v>
      </c>
      <c r="M957">
        <f>Table1[[#This Row],[UnitPrice]]*Table1[[#This Row],[Quantity]]</f>
        <v>59186</v>
      </c>
      <c r="N957">
        <f>Table1[[#This Row],[Total Price]]*Table1[[#This Row],[Discount]]</f>
        <v>11837.2</v>
      </c>
      <c r="O957">
        <f>Table1[[#This Row],[Total Price]]-Table1[[#This Row],[Discount Amount]]</f>
        <v>47348.800000000003</v>
      </c>
    </row>
    <row r="958" spans="1:15" x14ac:dyDescent="0.3">
      <c r="A958" t="s">
        <v>2901</v>
      </c>
      <c r="B958" s="1">
        <v>45393</v>
      </c>
      <c r="C958" t="s">
        <v>2389</v>
      </c>
      <c r="D958" t="s">
        <v>19</v>
      </c>
      <c r="E958">
        <v>1</v>
      </c>
      <c r="F958">
        <v>43019</v>
      </c>
      <c r="G958" s="9">
        <v>0.15</v>
      </c>
      <c r="H958" t="s">
        <v>13</v>
      </c>
      <c r="I958" t="s">
        <v>2902</v>
      </c>
      <c r="J958" s="13" t="s">
        <v>37</v>
      </c>
      <c r="K958">
        <v>3</v>
      </c>
      <c r="L958" t="s">
        <v>22</v>
      </c>
      <c r="M958">
        <f>Table1[[#This Row],[UnitPrice]]*Table1[[#This Row],[Quantity]]</f>
        <v>43019</v>
      </c>
      <c r="N958">
        <f>Table1[[#This Row],[Total Price]]*Table1[[#This Row],[Discount]]</f>
        <v>6452.8499999999995</v>
      </c>
      <c r="O958">
        <f>Table1[[#This Row],[Total Price]]-Table1[[#This Row],[Discount Amount]]</f>
        <v>36566.15</v>
      </c>
    </row>
    <row r="959" spans="1:15" x14ac:dyDescent="0.3">
      <c r="A959" t="s">
        <v>2903</v>
      </c>
      <c r="B959" s="1">
        <v>44938</v>
      </c>
      <c r="C959" t="s">
        <v>2904</v>
      </c>
      <c r="D959" t="s">
        <v>12</v>
      </c>
      <c r="E959">
        <v>2</v>
      </c>
      <c r="F959">
        <v>9919</v>
      </c>
      <c r="G959" s="9">
        <v>0.08</v>
      </c>
      <c r="H959" t="s">
        <v>50</v>
      </c>
      <c r="I959" t="s">
        <v>2905</v>
      </c>
      <c r="J959" s="14" t="s">
        <v>14</v>
      </c>
      <c r="K959">
        <v>8</v>
      </c>
      <c r="L959" t="s">
        <v>33</v>
      </c>
      <c r="M959">
        <f>Table1[[#This Row],[UnitPrice]]*Table1[[#This Row],[Quantity]]</f>
        <v>19838</v>
      </c>
      <c r="N959">
        <f>Table1[[#This Row],[Total Price]]*Table1[[#This Row],[Discount]]</f>
        <v>1587.04</v>
      </c>
      <c r="O959">
        <f>Table1[[#This Row],[Total Price]]-Table1[[#This Row],[Discount Amount]]</f>
        <v>18250.96</v>
      </c>
    </row>
    <row r="960" spans="1:15" x14ac:dyDescent="0.3">
      <c r="A960" t="s">
        <v>2906</v>
      </c>
      <c r="B960" s="1">
        <v>45059</v>
      </c>
      <c r="C960" t="s">
        <v>2907</v>
      </c>
      <c r="D960" t="s">
        <v>58</v>
      </c>
      <c r="E960">
        <v>1</v>
      </c>
      <c r="F960">
        <v>5142</v>
      </c>
      <c r="G960" s="9">
        <v>7.0000000000000007E-2</v>
      </c>
      <c r="H960" t="s">
        <v>45</v>
      </c>
      <c r="I960" t="s">
        <v>2908</v>
      </c>
      <c r="J960" s="13" t="s">
        <v>37</v>
      </c>
      <c r="K960">
        <v>7</v>
      </c>
      <c r="L960" t="s">
        <v>28</v>
      </c>
      <c r="M960">
        <f>Table1[[#This Row],[UnitPrice]]*Table1[[#This Row],[Quantity]]</f>
        <v>5142</v>
      </c>
      <c r="N960">
        <f>Table1[[#This Row],[Total Price]]*Table1[[#This Row],[Discount]]</f>
        <v>359.94000000000005</v>
      </c>
      <c r="O960">
        <f>Table1[[#This Row],[Total Price]]-Table1[[#This Row],[Discount Amount]]</f>
        <v>4782.0599999999995</v>
      </c>
    </row>
    <row r="961" spans="1:15" x14ac:dyDescent="0.3">
      <c r="A961" t="s">
        <v>2909</v>
      </c>
      <c r="B961" s="1">
        <v>45395</v>
      </c>
      <c r="C961" t="s">
        <v>2910</v>
      </c>
      <c r="D961" t="s">
        <v>25</v>
      </c>
      <c r="E961">
        <v>3</v>
      </c>
      <c r="F961">
        <v>14919</v>
      </c>
      <c r="G961" s="9">
        <v>0.26</v>
      </c>
      <c r="H961" t="s">
        <v>26</v>
      </c>
      <c r="I961" t="s">
        <v>2911</v>
      </c>
      <c r="J961" s="14" t="s">
        <v>14</v>
      </c>
      <c r="K961">
        <v>6</v>
      </c>
      <c r="L961" t="s">
        <v>16</v>
      </c>
      <c r="M961">
        <f>Table1[[#This Row],[UnitPrice]]*Table1[[#This Row],[Quantity]]</f>
        <v>44757</v>
      </c>
      <c r="N961">
        <f>Table1[[#This Row],[Total Price]]*Table1[[#This Row],[Discount]]</f>
        <v>11636.82</v>
      </c>
      <c r="O961">
        <f>Table1[[#This Row],[Total Price]]-Table1[[#This Row],[Discount Amount]]</f>
        <v>33120.18</v>
      </c>
    </row>
    <row r="962" spans="1:15" x14ac:dyDescent="0.3">
      <c r="A962" t="s">
        <v>2912</v>
      </c>
      <c r="B962" s="1">
        <v>45271</v>
      </c>
      <c r="C962" t="s">
        <v>2913</v>
      </c>
      <c r="D962" t="s">
        <v>44</v>
      </c>
      <c r="E962">
        <v>1</v>
      </c>
      <c r="F962">
        <v>42879</v>
      </c>
      <c r="G962" s="9">
        <v>0.37</v>
      </c>
      <c r="H962" t="s">
        <v>45</v>
      </c>
      <c r="I962" t="s">
        <v>2914</v>
      </c>
      <c r="J962" s="13" t="s">
        <v>73</v>
      </c>
      <c r="K962">
        <v>3</v>
      </c>
      <c r="L962" t="s">
        <v>60</v>
      </c>
      <c r="M962">
        <f>Table1[[#This Row],[UnitPrice]]*Table1[[#This Row],[Quantity]]</f>
        <v>42879</v>
      </c>
      <c r="N962">
        <f>Table1[[#This Row],[Total Price]]*Table1[[#This Row],[Discount]]</f>
        <v>15865.23</v>
      </c>
      <c r="O962">
        <f>Table1[[#This Row],[Total Price]]-Table1[[#This Row],[Discount Amount]]</f>
        <v>27013.77</v>
      </c>
    </row>
    <row r="963" spans="1:15" x14ac:dyDescent="0.3">
      <c r="A963" t="s">
        <v>2915</v>
      </c>
      <c r="B963" s="1">
        <v>45607</v>
      </c>
      <c r="C963" t="s">
        <v>2916</v>
      </c>
      <c r="D963" t="s">
        <v>19</v>
      </c>
      <c r="E963">
        <v>1</v>
      </c>
      <c r="F963">
        <v>20055</v>
      </c>
      <c r="G963" s="9">
        <v>0.28000000000000003</v>
      </c>
      <c r="H963" t="s">
        <v>20</v>
      </c>
      <c r="I963" t="s">
        <v>2917</v>
      </c>
      <c r="J963" s="14" t="s">
        <v>14</v>
      </c>
      <c r="K963">
        <v>1</v>
      </c>
      <c r="L963" t="s">
        <v>33</v>
      </c>
      <c r="M963">
        <f>Table1[[#This Row],[UnitPrice]]*Table1[[#This Row],[Quantity]]</f>
        <v>20055</v>
      </c>
      <c r="N963">
        <f>Table1[[#This Row],[Total Price]]*Table1[[#This Row],[Discount]]</f>
        <v>5615.4000000000005</v>
      </c>
      <c r="O963">
        <f>Table1[[#This Row],[Total Price]]-Table1[[#This Row],[Discount Amount]]</f>
        <v>14439.599999999999</v>
      </c>
    </row>
    <row r="964" spans="1:15" x14ac:dyDescent="0.3">
      <c r="A964" t="s">
        <v>2918</v>
      </c>
      <c r="B964" s="1">
        <v>45541</v>
      </c>
      <c r="C964" t="s">
        <v>2919</v>
      </c>
      <c r="D964" t="s">
        <v>19</v>
      </c>
      <c r="E964">
        <v>1</v>
      </c>
      <c r="F964">
        <v>22036</v>
      </c>
      <c r="G964" s="9">
        <v>0.44</v>
      </c>
      <c r="H964" t="s">
        <v>45</v>
      </c>
      <c r="I964" t="s">
        <v>2920</v>
      </c>
      <c r="J964" s="13" t="s">
        <v>37</v>
      </c>
      <c r="K964">
        <v>4</v>
      </c>
      <c r="L964" t="s">
        <v>22</v>
      </c>
      <c r="M964">
        <f>Table1[[#This Row],[UnitPrice]]*Table1[[#This Row],[Quantity]]</f>
        <v>22036</v>
      </c>
      <c r="N964">
        <f>Table1[[#This Row],[Total Price]]*Table1[[#This Row],[Discount]]</f>
        <v>9695.84</v>
      </c>
      <c r="O964">
        <f>Table1[[#This Row],[Total Price]]-Table1[[#This Row],[Discount Amount]]</f>
        <v>12340.16</v>
      </c>
    </row>
    <row r="965" spans="1:15" x14ac:dyDescent="0.3">
      <c r="A965" t="s">
        <v>2921</v>
      </c>
      <c r="B965" s="1">
        <v>45362</v>
      </c>
      <c r="C965" t="s">
        <v>2922</v>
      </c>
      <c r="D965" t="s">
        <v>31</v>
      </c>
      <c r="E965">
        <v>3</v>
      </c>
      <c r="F965">
        <v>49523</v>
      </c>
      <c r="G965" s="9">
        <v>0.16</v>
      </c>
      <c r="H965" t="s">
        <v>20</v>
      </c>
      <c r="I965" t="s">
        <v>2923</v>
      </c>
      <c r="J965" s="14" t="s">
        <v>14</v>
      </c>
      <c r="K965">
        <v>9</v>
      </c>
      <c r="L965" t="s">
        <v>60</v>
      </c>
      <c r="M965">
        <f>Table1[[#This Row],[UnitPrice]]*Table1[[#This Row],[Quantity]]</f>
        <v>148569</v>
      </c>
      <c r="N965">
        <f>Table1[[#This Row],[Total Price]]*Table1[[#This Row],[Discount]]</f>
        <v>23771.040000000001</v>
      </c>
      <c r="O965">
        <f>Table1[[#This Row],[Total Price]]-Table1[[#This Row],[Discount Amount]]</f>
        <v>124797.95999999999</v>
      </c>
    </row>
    <row r="966" spans="1:15" x14ac:dyDescent="0.3">
      <c r="A966" t="s">
        <v>2924</v>
      </c>
      <c r="B966" s="1">
        <v>45158</v>
      </c>
      <c r="C966" t="s">
        <v>2925</v>
      </c>
      <c r="D966" t="s">
        <v>19</v>
      </c>
      <c r="E966">
        <v>1</v>
      </c>
      <c r="F966">
        <v>37582</v>
      </c>
      <c r="G966" s="9">
        <v>0.3</v>
      </c>
      <c r="H966" t="s">
        <v>26</v>
      </c>
      <c r="I966" t="s">
        <v>2926</v>
      </c>
      <c r="J966" s="13" t="s">
        <v>37</v>
      </c>
      <c r="K966">
        <v>10</v>
      </c>
      <c r="L966" t="s">
        <v>22</v>
      </c>
      <c r="M966">
        <f>Table1[[#This Row],[UnitPrice]]*Table1[[#This Row],[Quantity]]</f>
        <v>37582</v>
      </c>
      <c r="N966">
        <f>Table1[[#This Row],[Total Price]]*Table1[[#This Row],[Discount]]</f>
        <v>11274.6</v>
      </c>
      <c r="O966">
        <f>Table1[[#This Row],[Total Price]]-Table1[[#This Row],[Discount Amount]]</f>
        <v>26307.4</v>
      </c>
    </row>
    <row r="967" spans="1:15" x14ac:dyDescent="0.3">
      <c r="A967" t="s">
        <v>2927</v>
      </c>
      <c r="B967" s="1">
        <v>45826</v>
      </c>
      <c r="C967" t="s">
        <v>2928</v>
      </c>
      <c r="D967" t="s">
        <v>44</v>
      </c>
      <c r="E967">
        <v>1</v>
      </c>
      <c r="F967">
        <v>69572</v>
      </c>
      <c r="G967" s="9">
        <v>0.33</v>
      </c>
      <c r="H967" t="s">
        <v>45</v>
      </c>
      <c r="I967" t="s">
        <v>2929</v>
      </c>
      <c r="J967" s="14" t="s">
        <v>14</v>
      </c>
      <c r="K967">
        <v>5</v>
      </c>
      <c r="L967" t="s">
        <v>28</v>
      </c>
      <c r="M967">
        <f>Table1[[#This Row],[UnitPrice]]*Table1[[#This Row],[Quantity]]</f>
        <v>69572</v>
      </c>
      <c r="N967">
        <f>Table1[[#This Row],[Total Price]]*Table1[[#This Row],[Discount]]</f>
        <v>22958.760000000002</v>
      </c>
      <c r="O967">
        <f>Table1[[#This Row],[Total Price]]-Table1[[#This Row],[Discount Amount]]</f>
        <v>46613.24</v>
      </c>
    </row>
    <row r="968" spans="1:15" x14ac:dyDescent="0.3">
      <c r="A968" t="s">
        <v>2930</v>
      </c>
      <c r="B968" s="1">
        <v>45797</v>
      </c>
      <c r="C968" t="s">
        <v>2931</v>
      </c>
      <c r="D968" t="s">
        <v>12</v>
      </c>
      <c r="E968">
        <v>3</v>
      </c>
      <c r="F968">
        <v>5762</v>
      </c>
      <c r="G968" s="9">
        <v>0.14000000000000001</v>
      </c>
      <c r="H968" t="s">
        <v>26</v>
      </c>
      <c r="I968" t="s">
        <v>2932</v>
      </c>
      <c r="J968" s="13" t="s">
        <v>37</v>
      </c>
      <c r="K968">
        <v>7</v>
      </c>
      <c r="L968" t="s">
        <v>33</v>
      </c>
      <c r="M968">
        <f>Table1[[#This Row],[UnitPrice]]*Table1[[#This Row],[Quantity]]</f>
        <v>17286</v>
      </c>
      <c r="N968">
        <f>Table1[[#This Row],[Total Price]]*Table1[[#This Row],[Discount]]</f>
        <v>2420.0400000000004</v>
      </c>
      <c r="O968">
        <f>Table1[[#This Row],[Total Price]]-Table1[[#This Row],[Discount Amount]]</f>
        <v>14865.96</v>
      </c>
    </row>
    <row r="969" spans="1:15" x14ac:dyDescent="0.3">
      <c r="A969" t="s">
        <v>2933</v>
      </c>
      <c r="B969" s="1">
        <v>45783</v>
      </c>
      <c r="C969" t="s">
        <v>2934</v>
      </c>
      <c r="D969" t="s">
        <v>25</v>
      </c>
      <c r="E969">
        <v>2</v>
      </c>
      <c r="F969">
        <v>15931</v>
      </c>
      <c r="G969" s="9">
        <v>0.2</v>
      </c>
      <c r="H969" t="s">
        <v>26</v>
      </c>
      <c r="I969" t="s">
        <v>2935</v>
      </c>
      <c r="J969" s="14" t="s">
        <v>73</v>
      </c>
      <c r="K969">
        <v>5</v>
      </c>
      <c r="L969" t="s">
        <v>60</v>
      </c>
      <c r="M969">
        <f>Table1[[#This Row],[UnitPrice]]*Table1[[#This Row],[Quantity]]</f>
        <v>31862</v>
      </c>
      <c r="N969">
        <f>Table1[[#This Row],[Total Price]]*Table1[[#This Row],[Discount]]</f>
        <v>6372.4000000000005</v>
      </c>
      <c r="O969">
        <f>Table1[[#This Row],[Total Price]]-Table1[[#This Row],[Discount Amount]]</f>
        <v>25489.599999999999</v>
      </c>
    </row>
    <row r="970" spans="1:15" x14ac:dyDescent="0.3">
      <c r="A970" t="s">
        <v>2936</v>
      </c>
      <c r="B970" s="1">
        <v>45330</v>
      </c>
      <c r="C970" t="s">
        <v>2937</v>
      </c>
      <c r="D970" t="s">
        <v>12</v>
      </c>
      <c r="E970">
        <v>1</v>
      </c>
      <c r="F970">
        <v>6733</v>
      </c>
      <c r="G970" s="9">
        <v>0.3</v>
      </c>
      <c r="H970" t="s">
        <v>26</v>
      </c>
      <c r="I970" t="s">
        <v>2938</v>
      </c>
      <c r="J970" s="13" t="s">
        <v>14</v>
      </c>
      <c r="K970">
        <v>6</v>
      </c>
      <c r="L970" t="s">
        <v>22</v>
      </c>
      <c r="M970">
        <f>Table1[[#This Row],[UnitPrice]]*Table1[[#This Row],[Quantity]]</f>
        <v>6733</v>
      </c>
      <c r="N970">
        <f>Table1[[#This Row],[Total Price]]*Table1[[#This Row],[Discount]]</f>
        <v>2019.8999999999999</v>
      </c>
      <c r="O970">
        <f>Table1[[#This Row],[Total Price]]-Table1[[#This Row],[Discount Amount]]</f>
        <v>4713.1000000000004</v>
      </c>
    </row>
    <row r="971" spans="1:15" x14ac:dyDescent="0.3">
      <c r="A971" t="s">
        <v>2939</v>
      </c>
      <c r="B971" s="1">
        <v>45813</v>
      </c>
      <c r="C971" t="s">
        <v>2940</v>
      </c>
      <c r="D971" t="s">
        <v>58</v>
      </c>
      <c r="E971">
        <v>2</v>
      </c>
      <c r="F971">
        <v>7362</v>
      </c>
      <c r="G971" s="9">
        <v>0.01</v>
      </c>
      <c r="H971" t="s">
        <v>45</v>
      </c>
      <c r="I971" t="s">
        <v>2941</v>
      </c>
      <c r="J971" s="14" t="s">
        <v>14</v>
      </c>
      <c r="K971">
        <v>2</v>
      </c>
      <c r="L971" t="s">
        <v>33</v>
      </c>
      <c r="M971">
        <f>Table1[[#This Row],[UnitPrice]]*Table1[[#This Row],[Quantity]]</f>
        <v>14724</v>
      </c>
      <c r="N971">
        <f>Table1[[#This Row],[Total Price]]*Table1[[#This Row],[Discount]]</f>
        <v>147.24</v>
      </c>
      <c r="O971">
        <f>Table1[[#This Row],[Total Price]]-Table1[[#This Row],[Discount Amount]]</f>
        <v>14576.76</v>
      </c>
    </row>
    <row r="972" spans="1:15" x14ac:dyDescent="0.3">
      <c r="A972" t="s">
        <v>2942</v>
      </c>
      <c r="B972" s="1">
        <v>45542</v>
      </c>
      <c r="C972" t="s">
        <v>2943</v>
      </c>
      <c r="D972" t="s">
        <v>58</v>
      </c>
      <c r="E972">
        <v>1</v>
      </c>
      <c r="F972">
        <v>3529</v>
      </c>
      <c r="G972" s="9">
        <v>0.44</v>
      </c>
      <c r="H972" t="s">
        <v>50</v>
      </c>
      <c r="I972" t="s">
        <v>2944</v>
      </c>
      <c r="J972" s="13" t="s">
        <v>37</v>
      </c>
      <c r="K972">
        <v>5</v>
      </c>
      <c r="L972" t="s">
        <v>16</v>
      </c>
      <c r="M972">
        <f>Table1[[#This Row],[UnitPrice]]*Table1[[#This Row],[Quantity]]</f>
        <v>3529</v>
      </c>
      <c r="N972">
        <f>Table1[[#This Row],[Total Price]]*Table1[[#This Row],[Discount]]</f>
        <v>1552.76</v>
      </c>
      <c r="O972">
        <f>Table1[[#This Row],[Total Price]]-Table1[[#This Row],[Discount Amount]]</f>
        <v>1976.24</v>
      </c>
    </row>
    <row r="973" spans="1:15" x14ac:dyDescent="0.3">
      <c r="A973" t="s">
        <v>2945</v>
      </c>
      <c r="B973" s="1">
        <v>45439</v>
      </c>
      <c r="C973" t="s">
        <v>2946</v>
      </c>
      <c r="D973" t="s">
        <v>12</v>
      </c>
      <c r="E973">
        <v>3</v>
      </c>
      <c r="F973">
        <v>8371</v>
      </c>
      <c r="G973" s="9">
        <v>0.06</v>
      </c>
      <c r="H973" t="s">
        <v>50</v>
      </c>
      <c r="I973" t="s">
        <v>2947</v>
      </c>
      <c r="J973" s="14" t="s">
        <v>73</v>
      </c>
      <c r="K973">
        <v>4</v>
      </c>
      <c r="L973" t="s">
        <v>22</v>
      </c>
      <c r="M973">
        <f>Table1[[#This Row],[UnitPrice]]*Table1[[#This Row],[Quantity]]</f>
        <v>25113</v>
      </c>
      <c r="N973">
        <f>Table1[[#This Row],[Total Price]]*Table1[[#This Row],[Discount]]</f>
        <v>1506.78</v>
      </c>
      <c r="O973">
        <f>Table1[[#This Row],[Total Price]]-Table1[[#This Row],[Discount Amount]]</f>
        <v>23606.22</v>
      </c>
    </row>
    <row r="974" spans="1:15" x14ac:dyDescent="0.3">
      <c r="A974" t="s">
        <v>2948</v>
      </c>
      <c r="B974" s="1">
        <v>45452</v>
      </c>
      <c r="C974" t="s">
        <v>2949</v>
      </c>
      <c r="D974" t="s">
        <v>44</v>
      </c>
      <c r="E974">
        <v>3</v>
      </c>
      <c r="F974">
        <v>46381</v>
      </c>
      <c r="G974" s="9">
        <v>0.02</v>
      </c>
      <c r="H974" t="s">
        <v>50</v>
      </c>
      <c r="I974" t="s">
        <v>2950</v>
      </c>
      <c r="J974" s="13" t="s">
        <v>37</v>
      </c>
      <c r="K974">
        <v>5</v>
      </c>
      <c r="L974" t="s">
        <v>33</v>
      </c>
      <c r="M974">
        <f>Table1[[#This Row],[UnitPrice]]*Table1[[#This Row],[Quantity]]</f>
        <v>139143</v>
      </c>
      <c r="N974">
        <f>Table1[[#This Row],[Total Price]]*Table1[[#This Row],[Discount]]</f>
        <v>2782.86</v>
      </c>
      <c r="O974">
        <f>Table1[[#This Row],[Total Price]]-Table1[[#This Row],[Discount Amount]]</f>
        <v>136360.14000000001</v>
      </c>
    </row>
    <row r="975" spans="1:15" x14ac:dyDescent="0.3">
      <c r="A975" t="s">
        <v>2951</v>
      </c>
      <c r="B975" s="1">
        <v>45817</v>
      </c>
      <c r="C975" t="s">
        <v>2952</v>
      </c>
      <c r="D975" t="s">
        <v>58</v>
      </c>
      <c r="E975">
        <v>2</v>
      </c>
      <c r="F975">
        <v>7034</v>
      </c>
      <c r="G975" s="9">
        <v>0.11</v>
      </c>
      <c r="H975" t="s">
        <v>20</v>
      </c>
      <c r="I975" t="s">
        <v>2953</v>
      </c>
      <c r="J975" s="14" t="s">
        <v>73</v>
      </c>
      <c r="K975">
        <v>10</v>
      </c>
      <c r="L975" t="s">
        <v>22</v>
      </c>
      <c r="M975">
        <f>Table1[[#This Row],[UnitPrice]]*Table1[[#This Row],[Quantity]]</f>
        <v>14068</v>
      </c>
      <c r="N975">
        <f>Table1[[#This Row],[Total Price]]*Table1[[#This Row],[Discount]]</f>
        <v>1547.48</v>
      </c>
      <c r="O975">
        <f>Table1[[#This Row],[Total Price]]-Table1[[#This Row],[Discount Amount]]</f>
        <v>12520.52</v>
      </c>
    </row>
    <row r="976" spans="1:15" x14ac:dyDescent="0.3">
      <c r="A976" t="s">
        <v>2954</v>
      </c>
      <c r="B976" s="1">
        <v>45196</v>
      </c>
      <c r="C976" t="s">
        <v>2955</v>
      </c>
      <c r="D976" t="s">
        <v>58</v>
      </c>
      <c r="E976">
        <v>1</v>
      </c>
      <c r="F976">
        <v>5041</v>
      </c>
      <c r="G976" s="9">
        <v>0.25</v>
      </c>
      <c r="H976" t="s">
        <v>45</v>
      </c>
      <c r="I976" t="s">
        <v>2956</v>
      </c>
      <c r="J976" s="13" t="s">
        <v>73</v>
      </c>
      <c r="K976">
        <v>5</v>
      </c>
      <c r="L976" t="s">
        <v>28</v>
      </c>
      <c r="M976">
        <f>Table1[[#This Row],[UnitPrice]]*Table1[[#This Row],[Quantity]]</f>
        <v>5041</v>
      </c>
      <c r="N976">
        <f>Table1[[#This Row],[Total Price]]*Table1[[#This Row],[Discount]]</f>
        <v>1260.25</v>
      </c>
      <c r="O976">
        <f>Table1[[#This Row],[Total Price]]-Table1[[#This Row],[Discount Amount]]</f>
        <v>3780.75</v>
      </c>
    </row>
    <row r="977" spans="1:15" x14ac:dyDescent="0.3">
      <c r="A977" t="s">
        <v>2957</v>
      </c>
      <c r="B977" s="1">
        <v>45064</v>
      </c>
      <c r="C977" t="s">
        <v>2958</v>
      </c>
      <c r="D977" t="s">
        <v>58</v>
      </c>
      <c r="E977">
        <v>2</v>
      </c>
      <c r="F977">
        <v>1190</v>
      </c>
      <c r="G977" s="9">
        <v>0.16</v>
      </c>
      <c r="H977" t="s">
        <v>45</v>
      </c>
      <c r="I977" t="s">
        <v>2959</v>
      </c>
      <c r="J977" s="14" t="s">
        <v>73</v>
      </c>
      <c r="K977">
        <v>6</v>
      </c>
      <c r="L977" t="s">
        <v>28</v>
      </c>
      <c r="M977">
        <f>Table1[[#This Row],[UnitPrice]]*Table1[[#This Row],[Quantity]]</f>
        <v>2380</v>
      </c>
      <c r="N977">
        <f>Table1[[#This Row],[Total Price]]*Table1[[#This Row],[Discount]]</f>
        <v>380.8</v>
      </c>
      <c r="O977">
        <f>Table1[[#This Row],[Total Price]]-Table1[[#This Row],[Discount Amount]]</f>
        <v>1999.2</v>
      </c>
    </row>
    <row r="978" spans="1:15" x14ac:dyDescent="0.3">
      <c r="A978" t="s">
        <v>2960</v>
      </c>
      <c r="B978" s="1">
        <v>45386</v>
      </c>
      <c r="C978" t="s">
        <v>2961</v>
      </c>
      <c r="D978" t="s">
        <v>25</v>
      </c>
      <c r="E978">
        <v>1</v>
      </c>
      <c r="F978">
        <v>18791</v>
      </c>
      <c r="G978" s="9">
        <v>0.22</v>
      </c>
      <c r="H978" t="s">
        <v>26</v>
      </c>
      <c r="I978" t="s">
        <v>2962</v>
      </c>
      <c r="J978" s="13" t="s">
        <v>14</v>
      </c>
      <c r="K978">
        <v>6</v>
      </c>
      <c r="L978" t="s">
        <v>22</v>
      </c>
      <c r="M978">
        <f>Table1[[#This Row],[UnitPrice]]*Table1[[#This Row],[Quantity]]</f>
        <v>18791</v>
      </c>
      <c r="N978">
        <f>Table1[[#This Row],[Total Price]]*Table1[[#This Row],[Discount]]</f>
        <v>4134.0200000000004</v>
      </c>
      <c r="O978">
        <f>Table1[[#This Row],[Total Price]]-Table1[[#This Row],[Discount Amount]]</f>
        <v>14656.98</v>
      </c>
    </row>
    <row r="979" spans="1:15" x14ac:dyDescent="0.3">
      <c r="A979" t="s">
        <v>2963</v>
      </c>
      <c r="B979" s="1">
        <v>44954</v>
      </c>
      <c r="C979" t="s">
        <v>2964</v>
      </c>
      <c r="D979" t="s">
        <v>31</v>
      </c>
      <c r="E979">
        <v>2</v>
      </c>
      <c r="F979">
        <v>41450</v>
      </c>
      <c r="G979" s="9">
        <v>0.04</v>
      </c>
      <c r="H979" t="s">
        <v>50</v>
      </c>
      <c r="I979" t="s">
        <v>2965</v>
      </c>
      <c r="J979" s="14" t="s">
        <v>73</v>
      </c>
      <c r="K979">
        <v>8</v>
      </c>
      <c r="L979" t="s">
        <v>60</v>
      </c>
      <c r="M979">
        <f>Table1[[#This Row],[UnitPrice]]*Table1[[#This Row],[Quantity]]</f>
        <v>82900</v>
      </c>
      <c r="N979">
        <f>Table1[[#This Row],[Total Price]]*Table1[[#This Row],[Discount]]</f>
        <v>3316</v>
      </c>
      <c r="O979">
        <f>Table1[[#This Row],[Total Price]]-Table1[[#This Row],[Discount Amount]]</f>
        <v>79584</v>
      </c>
    </row>
    <row r="980" spans="1:15" x14ac:dyDescent="0.3">
      <c r="A980" t="s">
        <v>2966</v>
      </c>
      <c r="B980" s="1">
        <v>45468</v>
      </c>
      <c r="C980" t="s">
        <v>2967</v>
      </c>
      <c r="D980" t="s">
        <v>36</v>
      </c>
      <c r="E980">
        <v>2</v>
      </c>
      <c r="F980">
        <v>5133</v>
      </c>
      <c r="G980" s="9">
        <v>0.12</v>
      </c>
      <c r="H980" t="s">
        <v>50</v>
      </c>
      <c r="I980" t="s">
        <v>2968</v>
      </c>
      <c r="J980" s="13" t="s">
        <v>37</v>
      </c>
      <c r="K980">
        <v>5</v>
      </c>
      <c r="L980" t="s">
        <v>60</v>
      </c>
      <c r="M980">
        <f>Table1[[#This Row],[UnitPrice]]*Table1[[#This Row],[Quantity]]</f>
        <v>10266</v>
      </c>
      <c r="N980">
        <f>Table1[[#This Row],[Total Price]]*Table1[[#This Row],[Discount]]</f>
        <v>1231.9199999999998</v>
      </c>
      <c r="O980">
        <f>Table1[[#This Row],[Total Price]]-Table1[[#This Row],[Discount Amount]]</f>
        <v>9034.08</v>
      </c>
    </row>
    <row r="981" spans="1:15" x14ac:dyDescent="0.3">
      <c r="A981" t="s">
        <v>2969</v>
      </c>
      <c r="B981" s="1">
        <v>45077</v>
      </c>
      <c r="C981" t="s">
        <v>2970</v>
      </c>
      <c r="D981" t="s">
        <v>12</v>
      </c>
      <c r="E981">
        <v>2</v>
      </c>
      <c r="F981">
        <v>6631</v>
      </c>
      <c r="G981" s="9">
        <v>0.05</v>
      </c>
      <c r="H981" t="s">
        <v>50</v>
      </c>
      <c r="I981" t="s">
        <v>2971</v>
      </c>
      <c r="J981" s="14" t="s">
        <v>37</v>
      </c>
      <c r="K981">
        <v>7</v>
      </c>
      <c r="L981" t="s">
        <v>33</v>
      </c>
      <c r="M981">
        <f>Table1[[#This Row],[UnitPrice]]*Table1[[#This Row],[Quantity]]</f>
        <v>13262</v>
      </c>
      <c r="N981">
        <f>Table1[[#This Row],[Total Price]]*Table1[[#This Row],[Discount]]</f>
        <v>663.1</v>
      </c>
      <c r="O981">
        <f>Table1[[#This Row],[Total Price]]-Table1[[#This Row],[Discount Amount]]</f>
        <v>12598.9</v>
      </c>
    </row>
    <row r="982" spans="1:15" x14ac:dyDescent="0.3">
      <c r="A982" t="s">
        <v>2972</v>
      </c>
      <c r="B982" s="1">
        <v>45213</v>
      </c>
      <c r="C982" t="s">
        <v>2973</v>
      </c>
      <c r="D982" t="s">
        <v>31</v>
      </c>
      <c r="E982">
        <v>1</v>
      </c>
      <c r="F982">
        <v>21176</v>
      </c>
      <c r="G982" s="9">
        <v>0.11</v>
      </c>
      <c r="H982" t="s">
        <v>50</v>
      </c>
      <c r="I982" t="s">
        <v>2974</v>
      </c>
      <c r="J982" s="13" t="s">
        <v>37</v>
      </c>
      <c r="K982">
        <v>7</v>
      </c>
      <c r="L982" t="s">
        <v>16</v>
      </c>
      <c r="M982">
        <f>Table1[[#This Row],[UnitPrice]]*Table1[[#This Row],[Quantity]]</f>
        <v>21176</v>
      </c>
      <c r="N982">
        <f>Table1[[#This Row],[Total Price]]*Table1[[#This Row],[Discount]]</f>
        <v>2329.36</v>
      </c>
      <c r="O982">
        <f>Table1[[#This Row],[Total Price]]-Table1[[#This Row],[Discount Amount]]</f>
        <v>18846.64</v>
      </c>
    </row>
    <row r="983" spans="1:15" x14ac:dyDescent="0.3">
      <c r="A983" t="s">
        <v>2975</v>
      </c>
      <c r="B983" s="1">
        <v>45256</v>
      </c>
      <c r="C983" t="s">
        <v>2976</v>
      </c>
      <c r="D983" t="s">
        <v>19</v>
      </c>
      <c r="E983">
        <v>1</v>
      </c>
      <c r="F983">
        <v>27620</v>
      </c>
      <c r="G983" s="9">
        <v>0.35</v>
      </c>
      <c r="H983" t="s">
        <v>13</v>
      </c>
      <c r="I983" t="s">
        <v>2977</v>
      </c>
      <c r="J983" s="14" t="s">
        <v>73</v>
      </c>
      <c r="K983">
        <v>8</v>
      </c>
      <c r="L983" t="s">
        <v>28</v>
      </c>
      <c r="M983">
        <f>Table1[[#This Row],[UnitPrice]]*Table1[[#This Row],[Quantity]]</f>
        <v>27620</v>
      </c>
      <c r="N983">
        <f>Table1[[#This Row],[Total Price]]*Table1[[#This Row],[Discount]]</f>
        <v>9667</v>
      </c>
      <c r="O983">
        <f>Table1[[#This Row],[Total Price]]-Table1[[#This Row],[Discount Amount]]</f>
        <v>17953</v>
      </c>
    </row>
    <row r="984" spans="1:15" x14ac:dyDescent="0.3">
      <c r="A984" t="s">
        <v>2978</v>
      </c>
      <c r="B984" s="1">
        <v>45541</v>
      </c>
      <c r="C984" t="s">
        <v>2979</v>
      </c>
      <c r="D984" t="s">
        <v>12</v>
      </c>
      <c r="E984">
        <v>3</v>
      </c>
      <c r="F984">
        <v>5107</v>
      </c>
      <c r="G984" s="9">
        <v>0.28999999999999998</v>
      </c>
      <c r="H984" t="s">
        <v>45</v>
      </c>
      <c r="I984" t="s">
        <v>2980</v>
      </c>
      <c r="J984" s="13" t="s">
        <v>14</v>
      </c>
      <c r="K984">
        <v>2</v>
      </c>
      <c r="L984" t="s">
        <v>22</v>
      </c>
      <c r="M984">
        <f>Table1[[#This Row],[UnitPrice]]*Table1[[#This Row],[Quantity]]</f>
        <v>15321</v>
      </c>
      <c r="N984">
        <f>Table1[[#This Row],[Total Price]]*Table1[[#This Row],[Discount]]</f>
        <v>4443.09</v>
      </c>
      <c r="O984">
        <f>Table1[[#This Row],[Total Price]]-Table1[[#This Row],[Discount Amount]]</f>
        <v>10877.91</v>
      </c>
    </row>
    <row r="985" spans="1:15" x14ac:dyDescent="0.3">
      <c r="A985" t="s">
        <v>2981</v>
      </c>
      <c r="B985" s="1">
        <v>45620</v>
      </c>
      <c r="C985" t="s">
        <v>2982</v>
      </c>
      <c r="D985" t="s">
        <v>12</v>
      </c>
      <c r="E985">
        <v>1</v>
      </c>
      <c r="F985">
        <v>8034</v>
      </c>
      <c r="G985" s="9">
        <v>0.17</v>
      </c>
      <c r="H985" t="s">
        <v>45</v>
      </c>
      <c r="I985" t="s">
        <v>2983</v>
      </c>
      <c r="J985" s="14" t="s">
        <v>14</v>
      </c>
      <c r="K985">
        <v>5</v>
      </c>
      <c r="L985" t="s">
        <v>28</v>
      </c>
      <c r="M985">
        <f>Table1[[#This Row],[UnitPrice]]*Table1[[#This Row],[Quantity]]</f>
        <v>8034</v>
      </c>
      <c r="N985">
        <f>Table1[[#This Row],[Total Price]]*Table1[[#This Row],[Discount]]</f>
        <v>1365.7800000000002</v>
      </c>
      <c r="O985">
        <f>Table1[[#This Row],[Total Price]]-Table1[[#This Row],[Discount Amount]]</f>
        <v>6668.2199999999993</v>
      </c>
    </row>
    <row r="986" spans="1:15" x14ac:dyDescent="0.3">
      <c r="A986" t="s">
        <v>2984</v>
      </c>
      <c r="B986" s="1">
        <v>45716</v>
      </c>
      <c r="C986" t="s">
        <v>2985</v>
      </c>
      <c r="D986" t="s">
        <v>58</v>
      </c>
      <c r="E986">
        <v>2</v>
      </c>
      <c r="F986">
        <v>7815</v>
      </c>
      <c r="G986" s="9">
        <v>0.13</v>
      </c>
      <c r="H986" t="s">
        <v>26</v>
      </c>
      <c r="I986" t="s">
        <v>2986</v>
      </c>
      <c r="J986" s="13" t="s">
        <v>14</v>
      </c>
      <c r="K986">
        <v>1</v>
      </c>
      <c r="L986" t="s">
        <v>33</v>
      </c>
      <c r="M986">
        <f>Table1[[#This Row],[UnitPrice]]*Table1[[#This Row],[Quantity]]</f>
        <v>15630</v>
      </c>
      <c r="N986">
        <f>Table1[[#This Row],[Total Price]]*Table1[[#This Row],[Discount]]</f>
        <v>2031.9</v>
      </c>
      <c r="O986">
        <f>Table1[[#This Row],[Total Price]]-Table1[[#This Row],[Discount Amount]]</f>
        <v>13598.1</v>
      </c>
    </row>
    <row r="987" spans="1:15" x14ac:dyDescent="0.3">
      <c r="A987" t="s">
        <v>2987</v>
      </c>
      <c r="B987" s="1">
        <v>45493</v>
      </c>
      <c r="C987" t="s">
        <v>2988</v>
      </c>
      <c r="D987" t="s">
        <v>58</v>
      </c>
      <c r="E987">
        <v>3</v>
      </c>
      <c r="F987">
        <v>5330</v>
      </c>
      <c r="G987" s="9">
        <v>0.5</v>
      </c>
      <c r="H987" t="s">
        <v>45</v>
      </c>
      <c r="I987" t="s">
        <v>2989</v>
      </c>
      <c r="J987" s="14" t="s">
        <v>37</v>
      </c>
      <c r="K987">
        <v>6</v>
      </c>
      <c r="L987" t="s">
        <v>60</v>
      </c>
      <c r="M987">
        <f>Table1[[#This Row],[UnitPrice]]*Table1[[#This Row],[Quantity]]</f>
        <v>15990</v>
      </c>
      <c r="N987">
        <f>Table1[[#This Row],[Total Price]]*Table1[[#This Row],[Discount]]</f>
        <v>7995</v>
      </c>
      <c r="O987">
        <f>Table1[[#This Row],[Total Price]]-Table1[[#This Row],[Discount Amount]]</f>
        <v>7995</v>
      </c>
    </row>
    <row r="988" spans="1:15" x14ac:dyDescent="0.3">
      <c r="A988" t="s">
        <v>2990</v>
      </c>
      <c r="B988" s="1">
        <v>45542</v>
      </c>
      <c r="C988" t="s">
        <v>2991</v>
      </c>
      <c r="D988" t="s">
        <v>44</v>
      </c>
      <c r="E988">
        <v>3</v>
      </c>
      <c r="F988">
        <v>72282</v>
      </c>
      <c r="G988" s="9">
        <v>0.38</v>
      </c>
      <c r="H988" t="s">
        <v>26</v>
      </c>
      <c r="I988" t="s">
        <v>2992</v>
      </c>
      <c r="J988" s="13" t="s">
        <v>73</v>
      </c>
      <c r="K988">
        <v>7</v>
      </c>
      <c r="L988" t="s">
        <v>28</v>
      </c>
      <c r="M988">
        <f>Table1[[#This Row],[UnitPrice]]*Table1[[#This Row],[Quantity]]</f>
        <v>216846</v>
      </c>
      <c r="N988">
        <f>Table1[[#This Row],[Total Price]]*Table1[[#This Row],[Discount]]</f>
        <v>82401.48</v>
      </c>
      <c r="O988">
        <f>Table1[[#This Row],[Total Price]]-Table1[[#This Row],[Discount Amount]]</f>
        <v>134444.52000000002</v>
      </c>
    </row>
    <row r="989" spans="1:15" x14ac:dyDescent="0.3">
      <c r="A989" t="s">
        <v>2993</v>
      </c>
      <c r="B989" s="1">
        <v>45813</v>
      </c>
      <c r="C989" t="s">
        <v>2994</v>
      </c>
      <c r="D989" t="s">
        <v>19</v>
      </c>
      <c r="E989">
        <v>2</v>
      </c>
      <c r="F989">
        <v>17096</v>
      </c>
      <c r="G989" s="9">
        <v>0.41</v>
      </c>
      <c r="H989" t="s">
        <v>45</v>
      </c>
      <c r="I989" t="s">
        <v>2995</v>
      </c>
      <c r="J989" s="14" t="s">
        <v>73</v>
      </c>
      <c r="K989">
        <v>8</v>
      </c>
      <c r="L989" t="s">
        <v>16</v>
      </c>
      <c r="M989">
        <f>Table1[[#This Row],[UnitPrice]]*Table1[[#This Row],[Quantity]]</f>
        <v>34192</v>
      </c>
      <c r="N989">
        <f>Table1[[#This Row],[Total Price]]*Table1[[#This Row],[Discount]]</f>
        <v>14018.72</v>
      </c>
      <c r="O989">
        <f>Table1[[#This Row],[Total Price]]-Table1[[#This Row],[Discount Amount]]</f>
        <v>20173.28</v>
      </c>
    </row>
    <row r="990" spans="1:15" x14ac:dyDescent="0.3">
      <c r="A990" t="s">
        <v>2996</v>
      </c>
      <c r="B990" s="1">
        <v>45692</v>
      </c>
      <c r="C990" t="s">
        <v>2997</v>
      </c>
      <c r="D990" t="s">
        <v>58</v>
      </c>
      <c r="E990">
        <v>3</v>
      </c>
      <c r="F990">
        <v>2652</v>
      </c>
      <c r="G990" s="9">
        <v>0.01</v>
      </c>
      <c r="H990" t="s">
        <v>45</v>
      </c>
      <c r="I990" t="s">
        <v>2998</v>
      </c>
      <c r="J990" s="13" t="s">
        <v>37</v>
      </c>
      <c r="K990">
        <v>5</v>
      </c>
      <c r="L990" t="s">
        <v>16</v>
      </c>
      <c r="M990">
        <f>Table1[[#This Row],[UnitPrice]]*Table1[[#This Row],[Quantity]]</f>
        <v>7956</v>
      </c>
      <c r="N990">
        <f>Table1[[#This Row],[Total Price]]*Table1[[#This Row],[Discount]]</f>
        <v>79.56</v>
      </c>
      <c r="O990">
        <f>Table1[[#This Row],[Total Price]]-Table1[[#This Row],[Discount Amount]]</f>
        <v>7876.44</v>
      </c>
    </row>
    <row r="991" spans="1:15" x14ac:dyDescent="0.3">
      <c r="A991" t="s">
        <v>2999</v>
      </c>
      <c r="B991" s="1">
        <v>45008</v>
      </c>
      <c r="C991" t="s">
        <v>3000</v>
      </c>
      <c r="D991" t="s">
        <v>44</v>
      </c>
      <c r="E991">
        <v>3</v>
      </c>
      <c r="F991">
        <v>25488</v>
      </c>
      <c r="G991" s="9">
        <v>0.03</v>
      </c>
      <c r="H991" t="s">
        <v>26</v>
      </c>
      <c r="I991" t="s">
        <v>3001</v>
      </c>
      <c r="J991" s="14" t="s">
        <v>73</v>
      </c>
      <c r="K991">
        <v>4</v>
      </c>
      <c r="L991" t="s">
        <v>16</v>
      </c>
      <c r="M991">
        <f>Table1[[#This Row],[UnitPrice]]*Table1[[#This Row],[Quantity]]</f>
        <v>76464</v>
      </c>
      <c r="N991">
        <f>Table1[[#This Row],[Total Price]]*Table1[[#This Row],[Discount]]</f>
        <v>2293.92</v>
      </c>
      <c r="O991">
        <f>Table1[[#This Row],[Total Price]]-Table1[[#This Row],[Discount Amount]]</f>
        <v>74170.080000000002</v>
      </c>
    </row>
    <row r="992" spans="1:15" x14ac:dyDescent="0.3">
      <c r="A992" t="s">
        <v>3002</v>
      </c>
      <c r="B992" s="1">
        <v>45249</v>
      </c>
      <c r="C992" t="s">
        <v>3003</v>
      </c>
      <c r="D992" t="s">
        <v>19</v>
      </c>
      <c r="E992">
        <v>3</v>
      </c>
      <c r="F992">
        <v>40603</v>
      </c>
      <c r="G992" s="9">
        <v>0.36</v>
      </c>
      <c r="H992" t="s">
        <v>13</v>
      </c>
      <c r="I992" t="s">
        <v>3004</v>
      </c>
      <c r="J992" s="13" t="s">
        <v>73</v>
      </c>
      <c r="K992">
        <v>2</v>
      </c>
      <c r="L992" t="s">
        <v>60</v>
      </c>
      <c r="M992">
        <f>Table1[[#This Row],[UnitPrice]]*Table1[[#This Row],[Quantity]]</f>
        <v>121809</v>
      </c>
      <c r="N992">
        <f>Table1[[#This Row],[Total Price]]*Table1[[#This Row],[Discount]]</f>
        <v>43851.24</v>
      </c>
      <c r="O992">
        <f>Table1[[#This Row],[Total Price]]-Table1[[#This Row],[Discount Amount]]</f>
        <v>77957.760000000009</v>
      </c>
    </row>
    <row r="993" spans="1:15" x14ac:dyDescent="0.3">
      <c r="A993" t="s">
        <v>3005</v>
      </c>
      <c r="B993" s="1">
        <v>45421</v>
      </c>
      <c r="C993" t="s">
        <v>3006</v>
      </c>
      <c r="D993" t="s">
        <v>58</v>
      </c>
      <c r="E993">
        <v>2</v>
      </c>
      <c r="F993">
        <v>9948</v>
      </c>
      <c r="G993" s="9">
        <v>0.1</v>
      </c>
      <c r="H993" t="s">
        <v>13</v>
      </c>
      <c r="I993" t="s">
        <v>3007</v>
      </c>
      <c r="J993" s="14" t="s">
        <v>37</v>
      </c>
      <c r="K993">
        <v>10</v>
      </c>
      <c r="L993" t="s">
        <v>60</v>
      </c>
      <c r="M993">
        <f>Table1[[#This Row],[UnitPrice]]*Table1[[#This Row],[Quantity]]</f>
        <v>19896</v>
      </c>
      <c r="N993">
        <f>Table1[[#This Row],[Total Price]]*Table1[[#This Row],[Discount]]</f>
        <v>1989.6000000000001</v>
      </c>
      <c r="O993">
        <f>Table1[[#This Row],[Total Price]]-Table1[[#This Row],[Discount Amount]]</f>
        <v>17906.400000000001</v>
      </c>
    </row>
    <row r="994" spans="1:15" x14ac:dyDescent="0.3">
      <c r="A994" t="s">
        <v>3008</v>
      </c>
      <c r="B994" s="1">
        <v>45531</v>
      </c>
      <c r="C994" t="s">
        <v>3009</v>
      </c>
      <c r="D994" t="s">
        <v>36</v>
      </c>
      <c r="E994">
        <v>2</v>
      </c>
      <c r="F994">
        <v>8299</v>
      </c>
      <c r="G994" s="9">
        <v>0.21</v>
      </c>
      <c r="H994" t="s">
        <v>45</v>
      </c>
      <c r="I994" t="s">
        <v>3010</v>
      </c>
      <c r="J994" s="13" t="s">
        <v>73</v>
      </c>
      <c r="K994">
        <v>4</v>
      </c>
      <c r="L994" t="s">
        <v>22</v>
      </c>
      <c r="M994">
        <f>Table1[[#This Row],[UnitPrice]]*Table1[[#This Row],[Quantity]]</f>
        <v>16598</v>
      </c>
      <c r="N994">
        <f>Table1[[#This Row],[Total Price]]*Table1[[#This Row],[Discount]]</f>
        <v>3485.58</v>
      </c>
      <c r="O994">
        <f>Table1[[#This Row],[Total Price]]-Table1[[#This Row],[Discount Amount]]</f>
        <v>13112.42</v>
      </c>
    </row>
    <row r="995" spans="1:15" x14ac:dyDescent="0.3">
      <c r="A995" t="s">
        <v>3011</v>
      </c>
      <c r="B995" s="1">
        <v>45388</v>
      </c>
      <c r="C995" t="s">
        <v>3012</v>
      </c>
      <c r="D995" t="s">
        <v>12</v>
      </c>
      <c r="E995">
        <v>2</v>
      </c>
      <c r="F995">
        <v>4460</v>
      </c>
      <c r="G995" s="9">
        <v>0.09</v>
      </c>
      <c r="H995" t="s">
        <v>45</v>
      </c>
      <c r="I995" t="s">
        <v>3013</v>
      </c>
      <c r="J995" s="14" t="s">
        <v>37</v>
      </c>
      <c r="K995">
        <v>5</v>
      </c>
      <c r="L995" t="s">
        <v>16</v>
      </c>
      <c r="M995">
        <f>Table1[[#This Row],[UnitPrice]]*Table1[[#This Row],[Quantity]]</f>
        <v>8920</v>
      </c>
      <c r="N995">
        <f>Table1[[#This Row],[Total Price]]*Table1[[#This Row],[Discount]]</f>
        <v>802.8</v>
      </c>
      <c r="O995">
        <f>Table1[[#This Row],[Total Price]]-Table1[[#This Row],[Discount Amount]]</f>
        <v>8117.2</v>
      </c>
    </row>
    <row r="996" spans="1:15" x14ac:dyDescent="0.3">
      <c r="A996" t="s">
        <v>3014</v>
      </c>
      <c r="B996" s="1">
        <v>45470</v>
      </c>
      <c r="C996" t="s">
        <v>3015</v>
      </c>
      <c r="D996" t="s">
        <v>25</v>
      </c>
      <c r="E996">
        <v>2</v>
      </c>
      <c r="F996">
        <v>11134</v>
      </c>
      <c r="G996" s="9">
        <v>0.09</v>
      </c>
      <c r="H996" t="s">
        <v>13</v>
      </c>
      <c r="I996" t="s">
        <v>3016</v>
      </c>
      <c r="J996" s="13" t="s">
        <v>37</v>
      </c>
      <c r="K996">
        <v>9</v>
      </c>
      <c r="L996" t="s">
        <v>60</v>
      </c>
      <c r="M996">
        <f>Table1[[#This Row],[UnitPrice]]*Table1[[#This Row],[Quantity]]</f>
        <v>22268</v>
      </c>
      <c r="N996">
        <f>Table1[[#This Row],[Total Price]]*Table1[[#This Row],[Discount]]</f>
        <v>2004.12</v>
      </c>
      <c r="O996">
        <f>Table1[[#This Row],[Total Price]]-Table1[[#This Row],[Discount Amount]]</f>
        <v>20263.88</v>
      </c>
    </row>
    <row r="997" spans="1:15" x14ac:dyDescent="0.3">
      <c r="A997" t="s">
        <v>3017</v>
      </c>
      <c r="B997" s="1">
        <v>45248</v>
      </c>
      <c r="C997" t="s">
        <v>3018</v>
      </c>
      <c r="D997" t="s">
        <v>12</v>
      </c>
      <c r="E997">
        <v>1</v>
      </c>
      <c r="F997">
        <v>5676</v>
      </c>
      <c r="G997" s="9">
        <v>0.05</v>
      </c>
      <c r="H997" t="s">
        <v>50</v>
      </c>
      <c r="I997" t="s">
        <v>3019</v>
      </c>
      <c r="J997" s="14" t="s">
        <v>73</v>
      </c>
      <c r="K997">
        <v>5</v>
      </c>
      <c r="L997" t="s">
        <v>33</v>
      </c>
      <c r="M997">
        <f>Table1[[#This Row],[UnitPrice]]*Table1[[#This Row],[Quantity]]</f>
        <v>5676</v>
      </c>
      <c r="N997">
        <f>Table1[[#This Row],[Total Price]]*Table1[[#This Row],[Discount]]</f>
        <v>283.8</v>
      </c>
      <c r="O997">
        <f>Table1[[#This Row],[Total Price]]-Table1[[#This Row],[Discount Amount]]</f>
        <v>5392.2</v>
      </c>
    </row>
    <row r="998" spans="1:15" x14ac:dyDescent="0.3">
      <c r="A998" t="s">
        <v>3020</v>
      </c>
      <c r="B998" s="1">
        <v>45410</v>
      </c>
      <c r="C998" t="s">
        <v>3021</v>
      </c>
      <c r="D998" t="s">
        <v>12</v>
      </c>
      <c r="E998">
        <v>2</v>
      </c>
      <c r="F998">
        <v>6005</v>
      </c>
      <c r="G998" s="9">
        <v>0.3</v>
      </c>
      <c r="H998" t="s">
        <v>13</v>
      </c>
      <c r="I998" t="s">
        <v>3022</v>
      </c>
      <c r="J998" s="13" t="s">
        <v>37</v>
      </c>
      <c r="K998">
        <v>7</v>
      </c>
      <c r="L998" t="s">
        <v>33</v>
      </c>
      <c r="M998">
        <f>Table1[[#This Row],[UnitPrice]]*Table1[[#This Row],[Quantity]]</f>
        <v>12010</v>
      </c>
      <c r="N998">
        <f>Table1[[#This Row],[Total Price]]*Table1[[#This Row],[Discount]]</f>
        <v>3603</v>
      </c>
      <c r="O998">
        <f>Table1[[#This Row],[Total Price]]-Table1[[#This Row],[Discount Amount]]</f>
        <v>8407</v>
      </c>
    </row>
    <row r="999" spans="1:15" x14ac:dyDescent="0.3">
      <c r="A999" t="s">
        <v>3023</v>
      </c>
      <c r="B999" s="1">
        <v>45257</v>
      </c>
      <c r="C999" t="s">
        <v>3024</v>
      </c>
      <c r="D999" t="s">
        <v>44</v>
      </c>
      <c r="E999">
        <v>2</v>
      </c>
      <c r="F999">
        <v>72758</v>
      </c>
      <c r="G999" s="9">
        <v>0.37</v>
      </c>
      <c r="H999" t="s">
        <v>50</v>
      </c>
      <c r="I999" t="s">
        <v>3025</v>
      </c>
      <c r="J999" s="14" t="s">
        <v>37</v>
      </c>
      <c r="K999">
        <v>6</v>
      </c>
      <c r="L999" t="s">
        <v>33</v>
      </c>
      <c r="M999">
        <f>Table1[[#This Row],[UnitPrice]]*Table1[[#This Row],[Quantity]]</f>
        <v>145516</v>
      </c>
      <c r="N999">
        <f>Table1[[#This Row],[Total Price]]*Table1[[#This Row],[Discount]]</f>
        <v>53840.92</v>
      </c>
      <c r="O999">
        <f>Table1[[#This Row],[Total Price]]-Table1[[#This Row],[Discount Amount]]</f>
        <v>91675.08</v>
      </c>
    </row>
    <row r="1000" spans="1:15" x14ac:dyDescent="0.3">
      <c r="A1000" t="s">
        <v>3026</v>
      </c>
      <c r="B1000" s="1">
        <v>45065</v>
      </c>
      <c r="C1000" t="s">
        <v>3027</v>
      </c>
      <c r="D1000" t="s">
        <v>19</v>
      </c>
      <c r="E1000">
        <v>2</v>
      </c>
      <c r="F1000">
        <v>39800</v>
      </c>
      <c r="G1000" s="9">
        <v>0.03</v>
      </c>
      <c r="H1000" t="s">
        <v>13</v>
      </c>
      <c r="I1000" t="s">
        <v>3028</v>
      </c>
      <c r="J1000" s="13" t="s">
        <v>14</v>
      </c>
      <c r="K1000">
        <v>6</v>
      </c>
      <c r="L1000" t="s">
        <v>60</v>
      </c>
      <c r="M1000">
        <f>Table1[[#This Row],[UnitPrice]]*Table1[[#This Row],[Quantity]]</f>
        <v>79600</v>
      </c>
      <c r="N1000">
        <f>Table1[[#This Row],[Total Price]]*Table1[[#This Row],[Discount]]</f>
        <v>2388</v>
      </c>
      <c r="O1000">
        <f>Table1[[#This Row],[Total Price]]-Table1[[#This Row],[Discount Amount]]</f>
        <v>77212</v>
      </c>
    </row>
    <row r="1001" spans="1:15" x14ac:dyDescent="0.3">
      <c r="A1001" t="s">
        <v>3029</v>
      </c>
      <c r="B1001" s="1">
        <v>45284</v>
      </c>
      <c r="C1001" t="s">
        <v>3030</v>
      </c>
      <c r="D1001" t="s">
        <v>36</v>
      </c>
      <c r="E1001">
        <v>3</v>
      </c>
      <c r="F1001">
        <v>7350</v>
      </c>
      <c r="G1001" s="9">
        <v>0.14000000000000001</v>
      </c>
      <c r="H1001" t="s">
        <v>50</v>
      </c>
      <c r="I1001" t="s">
        <v>3031</v>
      </c>
      <c r="J1001" s="14" t="s">
        <v>73</v>
      </c>
      <c r="K1001">
        <v>6</v>
      </c>
      <c r="L1001" t="s">
        <v>60</v>
      </c>
      <c r="M1001">
        <f>Table1[[#This Row],[UnitPrice]]*Table1[[#This Row],[Quantity]]</f>
        <v>22050</v>
      </c>
      <c r="N1001">
        <f>Table1[[#This Row],[Total Price]]*Table1[[#This Row],[Discount]]</f>
        <v>3087.0000000000005</v>
      </c>
      <c r="O1001">
        <f>Table1[[#This Row],[Total Price]]-Table1[[#This Row],[Discount Amount]]</f>
        <v>18963</v>
      </c>
    </row>
    <row r="1002" spans="1:15" x14ac:dyDescent="0.3">
      <c r="A1002" t="s">
        <v>3032</v>
      </c>
      <c r="B1002" s="1">
        <v>45098</v>
      </c>
      <c r="C1002" t="s">
        <v>3033</v>
      </c>
      <c r="D1002" t="s">
        <v>36</v>
      </c>
      <c r="E1002">
        <v>1</v>
      </c>
      <c r="F1002">
        <v>7605</v>
      </c>
      <c r="G1002" s="9">
        <v>0.33</v>
      </c>
      <c r="H1002" t="s">
        <v>20</v>
      </c>
      <c r="I1002" t="s">
        <v>3034</v>
      </c>
      <c r="J1002" s="13" t="s">
        <v>37</v>
      </c>
      <c r="K1002">
        <v>9</v>
      </c>
      <c r="L1002" t="s">
        <v>28</v>
      </c>
      <c r="M1002">
        <f>Table1[[#This Row],[UnitPrice]]*Table1[[#This Row],[Quantity]]</f>
        <v>7605</v>
      </c>
      <c r="N1002">
        <f>Table1[[#This Row],[Total Price]]*Table1[[#This Row],[Discount]]</f>
        <v>2509.65</v>
      </c>
      <c r="O1002">
        <f>Table1[[#This Row],[Total Price]]-Table1[[#This Row],[Discount Amount]]</f>
        <v>5095.3500000000004</v>
      </c>
    </row>
    <row r="1003" spans="1:15" x14ac:dyDescent="0.3">
      <c r="A1003" t="s">
        <v>3035</v>
      </c>
      <c r="B1003" s="1">
        <v>45268</v>
      </c>
      <c r="C1003" t="s">
        <v>3036</v>
      </c>
      <c r="D1003" t="s">
        <v>36</v>
      </c>
      <c r="E1003">
        <v>3</v>
      </c>
      <c r="F1003">
        <v>9003</v>
      </c>
      <c r="G1003" s="9">
        <v>0.2</v>
      </c>
      <c r="H1003" t="s">
        <v>45</v>
      </c>
      <c r="I1003" t="s">
        <v>3037</v>
      </c>
      <c r="J1003" s="14" t="s">
        <v>14</v>
      </c>
      <c r="K1003">
        <v>6</v>
      </c>
      <c r="L1003" t="s">
        <v>22</v>
      </c>
      <c r="M1003">
        <f>Table1[[#This Row],[UnitPrice]]*Table1[[#This Row],[Quantity]]</f>
        <v>27009</v>
      </c>
      <c r="N1003">
        <f>Table1[[#This Row],[Total Price]]*Table1[[#This Row],[Discount]]</f>
        <v>5401.8</v>
      </c>
      <c r="O1003">
        <f>Table1[[#This Row],[Total Price]]-Table1[[#This Row],[Discount Amount]]</f>
        <v>21607.200000000001</v>
      </c>
    </row>
    <row r="1004" spans="1:15" x14ac:dyDescent="0.3">
      <c r="A1004" t="s">
        <v>3038</v>
      </c>
      <c r="B1004" s="1">
        <v>45827</v>
      </c>
      <c r="C1004" t="s">
        <v>3039</v>
      </c>
      <c r="D1004" t="s">
        <v>25</v>
      </c>
      <c r="E1004">
        <v>1</v>
      </c>
      <c r="F1004">
        <v>9572</v>
      </c>
      <c r="G1004" s="9">
        <v>0.35</v>
      </c>
      <c r="H1004" t="s">
        <v>50</v>
      </c>
      <c r="I1004" t="s">
        <v>3040</v>
      </c>
      <c r="J1004" s="13" t="s">
        <v>73</v>
      </c>
      <c r="K1004">
        <v>5</v>
      </c>
      <c r="L1004" t="s">
        <v>22</v>
      </c>
      <c r="M1004">
        <f>Table1[[#This Row],[UnitPrice]]*Table1[[#This Row],[Quantity]]</f>
        <v>9572</v>
      </c>
      <c r="N1004">
        <f>Table1[[#This Row],[Total Price]]*Table1[[#This Row],[Discount]]</f>
        <v>3350.2</v>
      </c>
      <c r="O1004">
        <f>Table1[[#This Row],[Total Price]]-Table1[[#This Row],[Discount Amount]]</f>
        <v>6221.8</v>
      </c>
    </row>
    <row r="1005" spans="1:15" x14ac:dyDescent="0.3">
      <c r="A1005" t="s">
        <v>3041</v>
      </c>
      <c r="B1005" s="1">
        <v>44937</v>
      </c>
      <c r="C1005" t="s">
        <v>3042</v>
      </c>
      <c r="D1005" t="s">
        <v>36</v>
      </c>
      <c r="E1005">
        <v>3</v>
      </c>
      <c r="F1005">
        <v>8322</v>
      </c>
      <c r="G1005" s="9">
        <v>0.38</v>
      </c>
      <c r="H1005" t="s">
        <v>50</v>
      </c>
      <c r="I1005" t="s">
        <v>3043</v>
      </c>
      <c r="J1005" s="14" t="s">
        <v>14</v>
      </c>
      <c r="K1005">
        <v>7</v>
      </c>
      <c r="L1005" t="s">
        <v>60</v>
      </c>
      <c r="M1005">
        <f>Table1[[#This Row],[UnitPrice]]*Table1[[#This Row],[Quantity]]</f>
        <v>24966</v>
      </c>
      <c r="N1005">
        <f>Table1[[#This Row],[Total Price]]*Table1[[#This Row],[Discount]]</f>
        <v>9487.08</v>
      </c>
      <c r="O1005">
        <f>Table1[[#This Row],[Total Price]]-Table1[[#This Row],[Discount Amount]]</f>
        <v>15478.92</v>
      </c>
    </row>
    <row r="1006" spans="1:15" x14ac:dyDescent="0.3">
      <c r="A1006" t="s">
        <v>3044</v>
      </c>
      <c r="B1006" s="1">
        <v>45817</v>
      </c>
      <c r="C1006" t="s">
        <v>3045</v>
      </c>
      <c r="D1006" t="s">
        <v>31</v>
      </c>
      <c r="E1006">
        <v>3</v>
      </c>
      <c r="F1006">
        <v>15969</v>
      </c>
      <c r="G1006" s="9">
        <v>0.02</v>
      </c>
      <c r="H1006" t="s">
        <v>20</v>
      </c>
      <c r="I1006" t="s">
        <v>3046</v>
      </c>
      <c r="J1006" s="13" t="s">
        <v>73</v>
      </c>
      <c r="K1006">
        <v>8</v>
      </c>
      <c r="L1006" t="s">
        <v>22</v>
      </c>
      <c r="M1006">
        <f>Table1[[#This Row],[UnitPrice]]*Table1[[#This Row],[Quantity]]</f>
        <v>47907</v>
      </c>
      <c r="N1006">
        <f>Table1[[#This Row],[Total Price]]*Table1[[#This Row],[Discount]]</f>
        <v>958.14</v>
      </c>
      <c r="O1006">
        <f>Table1[[#This Row],[Total Price]]-Table1[[#This Row],[Discount Amount]]</f>
        <v>46948.86</v>
      </c>
    </row>
    <row r="1007" spans="1:15" x14ac:dyDescent="0.3">
      <c r="A1007" t="s">
        <v>3047</v>
      </c>
      <c r="B1007" s="1">
        <v>44987</v>
      </c>
      <c r="C1007" t="s">
        <v>3048</v>
      </c>
      <c r="D1007" t="s">
        <v>36</v>
      </c>
      <c r="E1007">
        <v>1</v>
      </c>
      <c r="F1007">
        <v>9158</v>
      </c>
      <c r="G1007" s="9">
        <v>0.19</v>
      </c>
      <c r="H1007" t="s">
        <v>26</v>
      </c>
      <c r="I1007" t="s">
        <v>3049</v>
      </c>
      <c r="J1007" s="14" t="s">
        <v>14</v>
      </c>
      <c r="K1007">
        <v>6</v>
      </c>
      <c r="L1007" t="s">
        <v>60</v>
      </c>
      <c r="M1007">
        <f>Table1[[#This Row],[UnitPrice]]*Table1[[#This Row],[Quantity]]</f>
        <v>9158</v>
      </c>
      <c r="N1007">
        <f>Table1[[#This Row],[Total Price]]*Table1[[#This Row],[Discount]]</f>
        <v>1740.02</v>
      </c>
      <c r="O1007">
        <f>Table1[[#This Row],[Total Price]]-Table1[[#This Row],[Discount Amount]]</f>
        <v>7417.98</v>
      </c>
    </row>
    <row r="1008" spans="1:15" x14ac:dyDescent="0.3">
      <c r="A1008" t="s">
        <v>3050</v>
      </c>
      <c r="B1008" s="1">
        <v>45439</v>
      </c>
      <c r="C1008" t="s">
        <v>3051</v>
      </c>
      <c r="D1008" t="s">
        <v>25</v>
      </c>
      <c r="E1008">
        <v>2</v>
      </c>
      <c r="F1008">
        <v>3801</v>
      </c>
      <c r="G1008" s="9">
        <v>0.36</v>
      </c>
      <c r="H1008" t="s">
        <v>50</v>
      </c>
      <c r="I1008" t="s">
        <v>3052</v>
      </c>
      <c r="J1008" s="13" t="s">
        <v>37</v>
      </c>
      <c r="K1008">
        <v>7</v>
      </c>
      <c r="L1008" t="s">
        <v>33</v>
      </c>
      <c r="M1008">
        <f>Table1[[#This Row],[UnitPrice]]*Table1[[#This Row],[Quantity]]</f>
        <v>7602</v>
      </c>
      <c r="N1008">
        <f>Table1[[#This Row],[Total Price]]*Table1[[#This Row],[Discount]]</f>
        <v>2736.72</v>
      </c>
      <c r="O1008">
        <f>Table1[[#This Row],[Total Price]]-Table1[[#This Row],[Discount Amount]]</f>
        <v>4865.2800000000007</v>
      </c>
    </row>
    <row r="1009" spans="1:15" x14ac:dyDescent="0.3">
      <c r="A1009" t="s">
        <v>3053</v>
      </c>
      <c r="B1009" s="1">
        <v>45371</v>
      </c>
      <c r="C1009" t="s">
        <v>1495</v>
      </c>
      <c r="D1009" t="s">
        <v>12</v>
      </c>
      <c r="E1009">
        <v>1</v>
      </c>
      <c r="F1009">
        <v>1824</v>
      </c>
      <c r="G1009" s="9">
        <v>0.19</v>
      </c>
      <c r="H1009" t="s">
        <v>50</v>
      </c>
      <c r="I1009" t="s">
        <v>3054</v>
      </c>
      <c r="J1009" s="14" t="s">
        <v>73</v>
      </c>
      <c r="K1009">
        <v>4</v>
      </c>
      <c r="L1009" t="s">
        <v>33</v>
      </c>
      <c r="M1009">
        <f>Table1[[#This Row],[UnitPrice]]*Table1[[#This Row],[Quantity]]</f>
        <v>1824</v>
      </c>
      <c r="N1009">
        <f>Table1[[#This Row],[Total Price]]*Table1[[#This Row],[Discount]]</f>
        <v>346.56</v>
      </c>
      <c r="O1009">
        <f>Table1[[#This Row],[Total Price]]-Table1[[#This Row],[Discount Amount]]</f>
        <v>1477.44</v>
      </c>
    </row>
    <row r="1010" spans="1:15" x14ac:dyDescent="0.3">
      <c r="A1010" t="s">
        <v>3055</v>
      </c>
      <c r="B1010" s="1">
        <v>44939</v>
      </c>
      <c r="C1010" t="s">
        <v>3056</v>
      </c>
      <c r="D1010" t="s">
        <v>12</v>
      </c>
      <c r="E1010">
        <v>1</v>
      </c>
      <c r="F1010">
        <v>3679</v>
      </c>
      <c r="G1010" s="9">
        <v>0</v>
      </c>
      <c r="H1010" t="s">
        <v>50</v>
      </c>
      <c r="I1010" t="s">
        <v>3057</v>
      </c>
      <c r="J1010" s="13" t="s">
        <v>37</v>
      </c>
      <c r="K1010">
        <v>8</v>
      </c>
      <c r="L1010" t="s">
        <v>16</v>
      </c>
      <c r="M1010">
        <f>Table1[[#This Row],[UnitPrice]]*Table1[[#This Row],[Quantity]]</f>
        <v>3679</v>
      </c>
      <c r="N1010">
        <f>Table1[[#This Row],[Total Price]]*Table1[[#This Row],[Discount]]</f>
        <v>0</v>
      </c>
      <c r="O1010">
        <f>Table1[[#This Row],[Total Price]]-Table1[[#This Row],[Discount Amount]]</f>
        <v>3679</v>
      </c>
    </row>
    <row r="1011" spans="1:15" x14ac:dyDescent="0.3">
      <c r="A1011" t="s">
        <v>3058</v>
      </c>
      <c r="B1011" s="1">
        <v>45171</v>
      </c>
      <c r="C1011" t="s">
        <v>3059</v>
      </c>
      <c r="D1011" t="s">
        <v>25</v>
      </c>
      <c r="E1011">
        <v>1</v>
      </c>
      <c r="F1011">
        <v>8826</v>
      </c>
      <c r="G1011" s="9">
        <v>0.17</v>
      </c>
      <c r="H1011" t="s">
        <v>26</v>
      </c>
      <c r="I1011" t="s">
        <v>3060</v>
      </c>
      <c r="J1011" s="14" t="s">
        <v>37</v>
      </c>
      <c r="K1011">
        <v>2</v>
      </c>
      <c r="L1011" t="s">
        <v>28</v>
      </c>
      <c r="M1011">
        <f>Table1[[#This Row],[UnitPrice]]*Table1[[#This Row],[Quantity]]</f>
        <v>8826</v>
      </c>
      <c r="N1011">
        <f>Table1[[#This Row],[Total Price]]*Table1[[#This Row],[Discount]]</f>
        <v>1500.42</v>
      </c>
      <c r="O1011">
        <f>Table1[[#This Row],[Total Price]]-Table1[[#This Row],[Discount Amount]]</f>
        <v>7325.58</v>
      </c>
    </row>
    <row r="1012" spans="1:15" x14ac:dyDescent="0.3">
      <c r="A1012" t="s">
        <v>3061</v>
      </c>
      <c r="B1012" s="1">
        <v>45016</v>
      </c>
      <c r="C1012" t="s">
        <v>3062</v>
      </c>
      <c r="D1012" t="s">
        <v>12</v>
      </c>
      <c r="E1012">
        <v>2</v>
      </c>
      <c r="F1012">
        <v>2456</v>
      </c>
      <c r="G1012" s="9">
        <v>0.44</v>
      </c>
      <c r="H1012" t="s">
        <v>26</v>
      </c>
      <c r="I1012" t="s">
        <v>3063</v>
      </c>
      <c r="J1012" s="13" t="s">
        <v>14</v>
      </c>
      <c r="K1012">
        <v>6</v>
      </c>
      <c r="L1012" t="s">
        <v>28</v>
      </c>
      <c r="M1012">
        <f>Table1[[#This Row],[UnitPrice]]*Table1[[#This Row],[Quantity]]</f>
        <v>4912</v>
      </c>
      <c r="N1012">
        <f>Table1[[#This Row],[Total Price]]*Table1[[#This Row],[Discount]]</f>
        <v>2161.2800000000002</v>
      </c>
      <c r="O1012">
        <f>Table1[[#This Row],[Total Price]]-Table1[[#This Row],[Discount Amount]]</f>
        <v>2750.72</v>
      </c>
    </row>
    <row r="1013" spans="1:15" x14ac:dyDescent="0.3">
      <c r="A1013" t="s">
        <v>3064</v>
      </c>
      <c r="B1013" s="1">
        <v>45629</v>
      </c>
      <c r="C1013" t="s">
        <v>3065</v>
      </c>
      <c r="D1013" t="s">
        <v>19</v>
      </c>
      <c r="E1013">
        <v>2</v>
      </c>
      <c r="F1013">
        <v>38206</v>
      </c>
      <c r="G1013" s="9">
        <v>0.48</v>
      </c>
      <c r="H1013" t="s">
        <v>20</v>
      </c>
      <c r="I1013" t="s">
        <v>3066</v>
      </c>
      <c r="J1013" s="14" t="s">
        <v>14</v>
      </c>
      <c r="K1013">
        <v>3</v>
      </c>
      <c r="L1013" t="s">
        <v>60</v>
      </c>
      <c r="M1013">
        <f>Table1[[#This Row],[UnitPrice]]*Table1[[#This Row],[Quantity]]</f>
        <v>76412</v>
      </c>
      <c r="N1013">
        <f>Table1[[#This Row],[Total Price]]*Table1[[#This Row],[Discount]]</f>
        <v>36677.760000000002</v>
      </c>
      <c r="O1013">
        <f>Table1[[#This Row],[Total Price]]-Table1[[#This Row],[Discount Amount]]</f>
        <v>39734.239999999998</v>
      </c>
    </row>
    <row r="1014" spans="1:15" x14ac:dyDescent="0.3">
      <c r="A1014" t="s">
        <v>3067</v>
      </c>
      <c r="B1014" s="1">
        <v>45629</v>
      </c>
      <c r="C1014" t="s">
        <v>3068</v>
      </c>
      <c r="D1014" t="s">
        <v>36</v>
      </c>
      <c r="E1014">
        <v>1</v>
      </c>
      <c r="F1014">
        <v>7679</v>
      </c>
      <c r="G1014" s="9">
        <v>0.28000000000000003</v>
      </c>
      <c r="H1014" t="s">
        <v>20</v>
      </c>
      <c r="I1014" t="s">
        <v>3069</v>
      </c>
      <c r="J1014" s="13" t="s">
        <v>73</v>
      </c>
      <c r="K1014">
        <v>6</v>
      </c>
      <c r="L1014" t="s">
        <v>33</v>
      </c>
      <c r="M1014">
        <f>Table1[[#This Row],[UnitPrice]]*Table1[[#This Row],[Quantity]]</f>
        <v>7679</v>
      </c>
      <c r="N1014">
        <f>Table1[[#This Row],[Total Price]]*Table1[[#This Row],[Discount]]</f>
        <v>2150.1200000000003</v>
      </c>
      <c r="O1014">
        <f>Table1[[#This Row],[Total Price]]-Table1[[#This Row],[Discount Amount]]</f>
        <v>5528.8799999999992</v>
      </c>
    </row>
    <row r="1015" spans="1:15" x14ac:dyDescent="0.3">
      <c r="A1015" t="s">
        <v>3070</v>
      </c>
      <c r="B1015" s="1">
        <v>45773</v>
      </c>
      <c r="C1015" t="s">
        <v>3071</v>
      </c>
      <c r="D1015" t="s">
        <v>44</v>
      </c>
      <c r="E1015">
        <v>1</v>
      </c>
      <c r="F1015">
        <v>27259</v>
      </c>
      <c r="G1015" s="9">
        <v>0.15</v>
      </c>
      <c r="H1015" t="s">
        <v>50</v>
      </c>
      <c r="I1015" t="s">
        <v>3072</v>
      </c>
      <c r="J1015" s="14" t="s">
        <v>14</v>
      </c>
      <c r="K1015">
        <v>9</v>
      </c>
      <c r="L1015" t="s">
        <v>33</v>
      </c>
      <c r="M1015">
        <f>Table1[[#This Row],[UnitPrice]]*Table1[[#This Row],[Quantity]]</f>
        <v>27259</v>
      </c>
      <c r="N1015">
        <f>Table1[[#This Row],[Total Price]]*Table1[[#This Row],[Discount]]</f>
        <v>4088.85</v>
      </c>
      <c r="O1015">
        <f>Table1[[#This Row],[Total Price]]-Table1[[#This Row],[Discount Amount]]</f>
        <v>23170.15</v>
      </c>
    </row>
    <row r="1016" spans="1:15" x14ac:dyDescent="0.3">
      <c r="A1016" t="s">
        <v>3073</v>
      </c>
      <c r="B1016" s="1">
        <v>45326</v>
      </c>
      <c r="C1016" t="s">
        <v>3074</v>
      </c>
      <c r="D1016" t="s">
        <v>25</v>
      </c>
      <c r="E1016">
        <v>2</v>
      </c>
      <c r="F1016">
        <v>10961</v>
      </c>
      <c r="G1016" s="9">
        <v>0.23</v>
      </c>
      <c r="H1016" t="s">
        <v>13</v>
      </c>
      <c r="I1016" t="s">
        <v>3075</v>
      </c>
      <c r="J1016" s="13" t="s">
        <v>37</v>
      </c>
      <c r="K1016">
        <v>6</v>
      </c>
      <c r="L1016" t="s">
        <v>28</v>
      </c>
      <c r="M1016">
        <f>Table1[[#This Row],[UnitPrice]]*Table1[[#This Row],[Quantity]]</f>
        <v>21922</v>
      </c>
      <c r="N1016">
        <f>Table1[[#This Row],[Total Price]]*Table1[[#This Row],[Discount]]</f>
        <v>5042.0600000000004</v>
      </c>
      <c r="O1016">
        <f>Table1[[#This Row],[Total Price]]-Table1[[#This Row],[Discount Amount]]</f>
        <v>16879.939999999999</v>
      </c>
    </row>
    <row r="1017" spans="1:15" x14ac:dyDescent="0.3">
      <c r="A1017" t="s">
        <v>3076</v>
      </c>
      <c r="B1017" s="1">
        <v>45317</v>
      </c>
      <c r="C1017" t="s">
        <v>3077</v>
      </c>
      <c r="D1017" t="s">
        <v>36</v>
      </c>
      <c r="E1017">
        <v>2</v>
      </c>
      <c r="F1017">
        <v>9972</v>
      </c>
      <c r="G1017" s="9">
        <v>0.12</v>
      </c>
      <c r="H1017" t="s">
        <v>20</v>
      </c>
      <c r="I1017" t="s">
        <v>3078</v>
      </c>
      <c r="J1017" s="14" t="s">
        <v>14</v>
      </c>
      <c r="K1017">
        <v>2</v>
      </c>
      <c r="L1017" t="s">
        <v>16</v>
      </c>
      <c r="M1017">
        <f>Table1[[#This Row],[UnitPrice]]*Table1[[#This Row],[Quantity]]</f>
        <v>19944</v>
      </c>
      <c r="N1017">
        <f>Table1[[#This Row],[Total Price]]*Table1[[#This Row],[Discount]]</f>
        <v>2393.2799999999997</v>
      </c>
      <c r="O1017">
        <f>Table1[[#This Row],[Total Price]]-Table1[[#This Row],[Discount Amount]]</f>
        <v>17550.72</v>
      </c>
    </row>
    <row r="1018" spans="1:15" x14ac:dyDescent="0.3">
      <c r="A1018" t="s">
        <v>3079</v>
      </c>
      <c r="B1018" s="1">
        <v>45289</v>
      </c>
      <c r="C1018" t="s">
        <v>3080</v>
      </c>
      <c r="D1018" t="s">
        <v>25</v>
      </c>
      <c r="E1018">
        <v>2</v>
      </c>
      <c r="F1018">
        <v>4526</v>
      </c>
      <c r="G1018" s="9">
        <v>0.08</v>
      </c>
      <c r="H1018" t="s">
        <v>13</v>
      </c>
      <c r="I1018" t="s">
        <v>3081</v>
      </c>
      <c r="J1018" s="13" t="s">
        <v>37</v>
      </c>
      <c r="K1018">
        <v>7</v>
      </c>
      <c r="L1018" t="s">
        <v>28</v>
      </c>
      <c r="M1018">
        <f>Table1[[#This Row],[UnitPrice]]*Table1[[#This Row],[Quantity]]</f>
        <v>9052</v>
      </c>
      <c r="N1018">
        <f>Table1[[#This Row],[Total Price]]*Table1[[#This Row],[Discount]]</f>
        <v>724.16</v>
      </c>
      <c r="O1018">
        <f>Table1[[#This Row],[Total Price]]-Table1[[#This Row],[Discount Amount]]</f>
        <v>8327.84</v>
      </c>
    </row>
    <row r="1019" spans="1:15" x14ac:dyDescent="0.3">
      <c r="A1019" t="s">
        <v>3082</v>
      </c>
      <c r="B1019" s="1">
        <v>45529</v>
      </c>
      <c r="C1019" t="s">
        <v>3083</v>
      </c>
      <c r="D1019" t="s">
        <v>31</v>
      </c>
      <c r="E1019">
        <v>1</v>
      </c>
      <c r="F1019">
        <v>21009</v>
      </c>
      <c r="G1019" s="9">
        <v>0.25</v>
      </c>
      <c r="H1019" t="s">
        <v>45</v>
      </c>
      <c r="I1019" t="s">
        <v>3084</v>
      </c>
      <c r="J1019" s="14" t="s">
        <v>37</v>
      </c>
      <c r="K1019">
        <v>6</v>
      </c>
      <c r="L1019" t="s">
        <v>22</v>
      </c>
      <c r="M1019">
        <f>Table1[[#This Row],[UnitPrice]]*Table1[[#This Row],[Quantity]]</f>
        <v>21009</v>
      </c>
      <c r="N1019">
        <f>Table1[[#This Row],[Total Price]]*Table1[[#This Row],[Discount]]</f>
        <v>5252.25</v>
      </c>
      <c r="O1019">
        <f>Table1[[#This Row],[Total Price]]-Table1[[#This Row],[Discount Amount]]</f>
        <v>15756.75</v>
      </c>
    </row>
    <row r="1020" spans="1:15" x14ac:dyDescent="0.3">
      <c r="A1020" t="s">
        <v>3085</v>
      </c>
      <c r="B1020" s="1">
        <v>45115</v>
      </c>
      <c r="C1020" t="s">
        <v>3086</v>
      </c>
      <c r="D1020" t="s">
        <v>44</v>
      </c>
      <c r="E1020">
        <v>1</v>
      </c>
      <c r="F1020">
        <v>35073</v>
      </c>
      <c r="G1020" s="9">
        <v>0.37</v>
      </c>
      <c r="H1020" t="s">
        <v>50</v>
      </c>
      <c r="I1020" t="s">
        <v>3087</v>
      </c>
      <c r="J1020" s="13" t="s">
        <v>37</v>
      </c>
      <c r="K1020">
        <v>3</v>
      </c>
      <c r="L1020" t="s">
        <v>16</v>
      </c>
      <c r="M1020">
        <f>Table1[[#This Row],[UnitPrice]]*Table1[[#This Row],[Quantity]]</f>
        <v>35073</v>
      </c>
      <c r="N1020">
        <f>Table1[[#This Row],[Total Price]]*Table1[[#This Row],[Discount]]</f>
        <v>12977.01</v>
      </c>
      <c r="O1020">
        <f>Table1[[#This Row],[Total Price]]-Table1[[#This Row],[Discount Amount]]</f>
        <v>22095.989999999998</v>
      </c>
    </row>
    <row r="1021" spans="1:15" x14ac:dyDescent="0.3">
      <c r="A1021" t="s">
        <v>3088</v>
      </c>
      <c r="B1021" s="1">
        <v>45388</v>
      </c>
      <c r="C1021" t="s">
        <v>3089</v>
      </c>
      <c r="D1021" t="s">
        <v>58</v>
      </c>
      <c r="E1021">
        <v>3</v>
      </c>
      <c r="F1021">
        <v>1247</v>
      </c>
      <c r="G1021" s="9">
        <v>0.11</v>
      </c>
      <c r="H1021" t="s">
        <v>50</v>
      </c>
      <c r="I1021" t="s">
        <v>3090</v>
      </c>
      <c r="J1021" s="14" t="s">
        <v>14</v>
      </c>
      <c r="K1021">
        <v>2</v>
      </c>
      <c r="L1021" t="s">
        <v>22</v>
      </c>
      <c r="M1021">
        <f>Table1[[#This Row],[UnitPrice]]*Table1[[#This Row],[Quantity]]</f>
        <v>3741</v>
      </c>
      <c r="N1021">
        <f>Table1[[#This Row],[Total Price]]*Table1[[#This Row],[Discount]]</f>
        <v>411.51</v>
      </c>
      <c r="O1021">
        <f>Table1[[#This Row],[Total Price]]-Table1[[#This Row],[Discount Amount]]</f>
        <v>3329.49</v>
      </c>
    </row>
    <row r="1022" spans="1:15" x14ac:dyDescent="0.3">
      <c r="A1022" t="s">
        <v>3091</v>
      </c>
      <c r="B1022" s="1">
        <v>45404</v>
      </c>
      <c r="C1022" t="s">
        <v>3092</v>
      </c>
      <c r="D1022" t="s">
        <v>25</v>
      </c>
      <c r="E1022">
        <v>3</v>
      </c>
      <c r="F1022">
        <v>1717</v>
      </c>
      <c r="G1022" s="9">
        <v>0.45</v>
      </c>
      <c r="H1022" t="s">
        <v>20</v>
      </c>
      <c r="I1022" t="s">
        <v>3093</v>
      </c>
      <c r="J1022" s="13" t="s">
        <v>37</v>
      </c>
      <c r="K1022">
        <v>3</v>
      </c>
      <c r="L1022" t="s">
        <v>16</v>
      </c>
      <c r="M1022">
        <f>Table1[[#This Row],[UnitPrice]]*Table1[[#This Row],[Quantity]]</f>
        <v>5151</v>
      </c>
      <c r="N1022">
        <f>Table1[[#This Row],[Total Price]]*Table1[[#This Row],[Discount]]</f>
        <v>2317.9500000000003</v>
      </c>
      <c r="O1022">
        <f>Table1[[#This Row],[Total Price]]-Table1[[#This Row],[Discount Amount]]</f>
        <v>2833.0499999999997</v>
      </c>
    </row>
    <row r="1023" spans="1:15" x14ac:dyDescent="0.3">
      <c r="A1023" t="s">
        <v>3094</v>
      </c>
      <c r="B1023" s="1">
        <v>45222</v>
      </c>
      <c r="C1023" t="s">
        <v>3095</v>
      </c>
      <c r="D1023" t="s">
        <v>19</v>
      </c>
      <c r="E1023">
        <v>1</v>
      </c>
      <c r="F1023">
        <v>22398</v>
      </c>
      <c r="G1023" s="9">
        <v>0.08</v>
      </c>
      <c r="H1023" t="s">
        <v>26</v>
      </c>
      <c r="I1023" t="s">
        <v>3096</v>
      </c>
      <c r="J1023" s="14" t="s">
        <v>37</v>
      </c>
      <c r="K1023">
        <v>4</v>
      </c>
      <c r="L1023" t="s">
        <v>28</v>
      </c>
      <c r="M1023">
        <f>Table1[[#This Row],[UnitPrice]]*Table1[[#This Row],[Quantity]]</f>
        <v>22398</v>
      </c>
      <c r="N1023">
        <f>Table1[[#This Row],[Total Price]]*Table1[[#This Row],[Discount]]</f>
        <v>1791.8400000000001</v>
      </c>
      <c r="O1023">
        <f>Table1[[#This Row],[Total Price]]-Table1[[#This Row],[Discount Amount]]</f>
        <v>20606.16</v>
      </c>
    </row>
    <row r="1024" spans="1:15" x14ac:dyDescent="0.3">
      <c r="A1024" t="s">
        <v>3097</v>
      </c>
      <c r="B1024" s="1">
        <v>45712</v>
      </c>
      <c r="C1024" t="s">
        <v>3098</v>
      </c>
      <c r="D1024" t="s">
        <v>25</v>
      </c>
      <c r="E1024">
        <v>3</v>
      </c>
      <c r="F1024">
        <v>2862</v>
      </c>
      <c r="G1024" s="9">
        <v>0.28000000000000003</v>
      </c>
      <c r="H1024" t="s">
        <v>26</v>
      </c>
      <c r="I1024" t="s">
        <v>3099</v>
      </c>
      <c r="J1024" s="13" t="s">
        <v>14</v>
      </c>
      <c r="K1024">
        <v>8</v>
      </c>
      <c r="L1024" t="s">
        <v>22</v>
      </c>
      <c r="M1024">
        <f>Table1[[#This Row],[UnitPrice]]*Table1[[#This Row],[Quantity]]</f>
        <v>8586</v>
      </c>
      <c r="N1024">
        <f>Table1[[#This Row],[Total Price]]*Table1[[#This Row],[Discount]]</f>
        <v>2404.0800000000004</v>
      </c>
      <c r="O1024">
        <f>Table1[[#This Row],[Total Price]]-Table1[[#This Row],[Discount Amount]]</f>
        <v>6181.92</v>
      </c>
    </row>
    <row r="1025" spans="1:15" x14ac:dyDescent="0.3">
      <c r="A1025" t="s">
        <v>3100</v>
      </c>
      <c r="B1025" s="1">
        <v>45558</v>
      </c>
      <c r="C1025" t="s">
        <v>3101</v>
      </c>
      <c r="D1025" t="s">
        <v>44</v>
      </c>
      <c r="E1025">
        <v>3</v>
      </c>
      <c r="F1025">
        <v>41474</v>
      </c>
      <c r="G1025" s="9">
        <v>0.39</v>
      </c>
      <c r="H1025" t="s">
        <v>50</v>
      </c>
      <c r="I1025" t="s">
        <v>3102</v>
      </c>
      <c r="J1025" s="14" t="s">
        <v>14</v>
      </c>
      <c r="K1025">
        <v>10</v>
      </c>
      <c r="L1025" t="s">
        <v>22</v>
      </c>
      <c r="M1025">
        <f>Table1[[#This Row],[UnitPrice]]*Table1[[#This Row],[Quantity]]</f>
        <v>124422</v>
      </c>
      <c r="N1025">
        <f>Table1[[#This Row],[Total Price]]*Table1[[#This Row],[Discount]]</f>
        <v>48524.58</v>
      </c>
      <c r="O1025">
        <f>Table1[[#This Row],[Total Price]]-Table1[[#This Row],[Discount Amount]]</f>
        <v>75897.42</v>
      </c>
    </row>
    <row r="1026" spans="1:15" x14ac:dyDescent="0.3">
      <c r="A1026" t="s">
        <v>3103</v>
      </c>
      <c r="B1026" s="1">
        <v>45320</v>
      </c>
      <c r="C1026" t="s">
        <v>3104</v>
      </c>
      <c r="D1026" t="s">
        <v>31</v>
      </c>
      <c r="E1026">
        <v>2</v>
      </c>
      <c r="F1026">
        <v>17608</v>
      </c>
      <c r="G1026" s="9">
        <v>0.11</v>
      </c>
      <c r="H1026" t="s">
        <v>50</v>
      </c>
      <c r="I1026" t="s">
        <v>3105</v>
      </c>
      <c r="J1026" s="13" t="s">
        <v>73</v>
      </c>
      <c r="K1026">
        <v>7</v>
      </c>
      <c r="L1026" t="s">
        <v>33</v>
      </c>
      <c r="M1026">
        <f>Table1[[#This Row],[UnitPrice]]*Table1[[#This Row],[Quantity]]</f>
        <v>35216</v>
      </c>
      <c r="N1026">
        <f>Table1[[#This Row],[Total Price]]*Table1[[#This Row],[Discount]]</f>
        <v>3873.76</v>
      </c>
      <c r="O1026">
        <f>Table1[[#This Row],[Total Price]]-Table1[[#This Row],[Discount Amount]]</f>
        <v>31342.239999999998</v>
      </c>
    </row>
    <row r="1027" spans="1:15" x14ac:dyDescent="0.3">
      <c r="A1027" t="s">
        <v>3106</v>
      </c>
      <c r="B1027" s="1">
        <v>45794</v>
      </c>
      <c r="C1027" t="s">
        <v>3107</v>
      </c>
      <c r="D1027" t="s">
        <v>31</v>
      </c>
      <c r="E1027">
        <v>2</v>
      </c>
      <c r="F1027">
        <v>20892</v>
      </c>
      <c r="G1027" s="9">
        <v>0.15</v>
      </c>
      <c r="H1027" t="s">
        <v>45</v>
      </c>
      <c r="I1027" t="s">
        <v>3108</v>
      </c>
      <c r="J1027" s="14" t="s">
        <v>37</v>
      </c>
      <c r="K1027">
        <v>2</v>
      </c>
      <c r="L1027" t="s">
        <v>16</v>
      </c>
      <c r="M1027">
        <f>Table1[[#This Row],[UnitPrice]]*Table1[[#This Row],[Quantity]]</f>
        <v>41784</v>
      </c>
      <c r="N1027">
        <f>Table1[[#This Row],[Total Price]]*Table1[[#This Row],[Discount]]</f>
        <v>6267.5999999999995</v>
      </c>
      <c r="O1027">
        <f>Table1[[#This Row],[Total Price]]-Table1[[#This Row],[Discount Amount]]</f>
        <v>35516.400000000001</v>
      </c>
    </row>
    <row r="1028" spans="1:15" x14ac:dyDescent="0.3">
      <c r="A1028" t="s">
        <v>3109</v>
      </c>
      <c r="B1028" s="1">
        <v>45047</v>
      </c>
      <c r="C1028" t="s">
        <v>3110</v>
      </c>
      <c r="D1028" t="s">
        <v>12</v>
      </c>
      <c r="E1028">
        <v>3</v>
      </c>
      <c r="F1028">
        <v>8771</v>
      </c>
      <c r="G1028" s="9">
        <v>0.03</v>
      </c>
      <c r="H1028" t="s">
        <v>20</v>
      </c>
      <c r="I1028" t="s">
        <v>3111</v>
      </c>
      <c r="J1028" s="13" t="s">
        <v>37</v>
      </c>
      <c r="K1028">
        <v>1</v>
      </c>
      <c r="L1028" t="s">
        <v>33</v>
      </c>
      <c r="M1028">
        <f>Table1[[#This Row],[UnitPrice]]*Table1[[#This Row],[Quantity]]</f>
        <v>26313</v>
      </c>
      <c r="N1028">
        <f>Table1[[#This Row],[Total Price]]*Table1[[#This Row],[Discount]]</f>
        <v>789.39</v>
      </c>
      <c r="O1028">
        <f>Table1[[#This Row],[Total Price]]-Table1[[#This Row],[Discount Amount]]</f>
        <v>25523.61</v>
      </c>
    </row>
    <row r="1029" spans="1:15" x14ac:dyDescent="0.3">
      <c r="A1029" t="s">
        <v>3112</v>
      </c>
      <c r="B1029" s="1">
        <v>45433</v>
      </c>
      <c r="C1029" t="s">
        <v>3113</v>
      </c>
      <c r="D1029" t="s">
        <v>44</v>
      </c>
      <c r="E1029">
        <v>2</v>
      </c>
      <c r="F1029">
        <v>67202</v>
      </c>
      <c r="G1029" s="9">
        <v>0.47</v>
      </c>
      <c r="H1029" t="s">
        <v>50</v>
      </c>
      <c r="I1029" t="s">
        <v>3114</v>
      </c>
      <c r="J1029" s="14" t="s">
        <v>73</v>
      </c>
      <c r="K1029">
        <v>6</v>
      </c>
      <c r="L1029" t="s">
        <v>60</v>
      </c>
      <c r="M1029">
        <f>Table1[[#This Row],[UnitPrice]]*Table1[[#This Row],[Quantity]]</f>
        <v>134404</v>
      </c>
      <c r="N1029">
        <f>Table1[[#This Row],[Total Price]]*Table1[[#This Row],[Discount]]</f>
        <v>63169.88</v>
      </c>
      <c r="O1029">
        <f>Table1[[#This Row],[Total Price]]-Table1[[#This Row],[Discount Amount]]</f>
        <v>71234.12</v>
      </c>
    </row>
    <row r="1030" spans="1:15" x14ac:dyDescent="0.3">
      <c r="A1030" t="s">
        <v>3115</v>
      </c>
      <c r="B1030" s="1">
        <v>44974</v>
      </c>
      <c r="C1030" t="s">
        <v>3116</v>
      </c>
      <c r="D1030" t="s">
        <v>58</v>
      </c>
      <c r="E1030">
        <v>1</v>
      </c>
      <c r="F1030">
        <v>5949</v>
      </c>
      <c r="G1030" s="9">
        <v>0.24</v>
      </c>
      <c r="H1030" t="s">
        <v>50</v>
      </c>
      <c r="I1030" t="s">
        <v>3117</v>
      </c>
      <c r="J1030" s="13" t="s">
        <v>73</v>
      </c>
      <c r="K1030">
        <v>6</v>
      </c>
      <c r="L1030" t="s">
        <v>16</v>
      </c>
      <c r="M1030">
        <f>Table1[[#This Row],[UnitPrice]]*Table1[[#This Row],[Quantity]]</f>
        <v>5949</v>
      </c>
      <c r="N1030">
        <f>Table1[[#This Row],[Total Price]]*Table1[[#This Row],[Discount]]</f>
        <v>1427.76</v>
      </c>
      <c r="O1030">
        <f>Table1[[#This Row],[Total Price]]-Table1[[#This Row],[Discount Amount]]</f>
        <v>4521.24</v>
      </c>
    </row>
    <row r="1031" spans="1:15" x14ac:dyDescent="0.3">
      <c r="A1031" t="s">
        <v>3118</v>
      </c>
      <c r="B1031" s="1">
        <v>45717</v>
      </c>
      <c r="C1031" t="s">
        <v>3119</v>
      </c>
      <c r="D1031" t="s">
        <v>58</v>
      </c>
      <c r="E1031">
        <v>2</v>
      </c>
      <c r="F1031">
        <v>3738</v>
      </c>
      <c r="G1031" s="9">
        <v>0.03</v>
      </c>
      <c r="H1031" t="s">
        <v>26</v>
      </c>
      <c r="I1031" t="s">
        <v>3120</v>
      </c>
      <c r="J1031" s="14" t="s">
        <v>14</v>
      </c>
      <c r="K1031">
        <v>4</v>
      </c>
      <c r="L1031" t="s">
        <v>28</v>
      </c>
      <c r="M1031">
        <f>Table1[[#This Row],[UnitPrice]]*Table1[[#This Row],[Quantity]]</f>
        <v>7476</v>
      </c>
      <c r="N1031">
        <f>Table1[[#This Row],[Total Price]]*Table1[[#This Row],[Discount]]</f>
        <v>224.28</v>
      </c>
      <c r="O1031">
        <f>Table1[[#This Row],[Total Price]]-Table1[[#This Row],[Discount Amount]]</f>
        <v>7251.72</v>
      </c>
    </row>
    <row r="1032" spans="1:15" x14ac:dyDescent="0.3">
      <c r="A1032" t="s">
        <v>3121</v>
      </c>
      <c r="B1032" s="1">
        <v>45201</v>
      </c>
      <c r="C1032" t="s">
        <v>3122</v>
      </c>
      <c r="D1032" t="s">
        <v>19</v>
      </c>
      <c r="E1032">
        <v>2</v>
      </c>
      <c r="F1032">
        <v>38080</v>
      </c>
      <c r="G1032" s="9">
        <v>0.42</v>
      </c>
      <c r="H1032" t="s">
        <v>26</v>
      </c>
      <c r="I1032" t="s">
        <v>3123</v>
      </c>
      <c r="J1032" s="13" t="s">
        <v>37</v>
      </c>
      <c r="K1032">
        <v>6</v>
      </c>
      <c r="L1032" t="s">
        <v>28</v>
      </c>
      <c r="M1032">
        <f>Table1[[#This Row],[UnitPrice]]*Table1[[#This Row],[Quantity]]</f>
        <v>76160</v>
      </c>
      <c r="N1032">
        <f>Table1[[#This Row],[Total Price]]*Table1[[#This Row],[Discount]]</f>
        <v>31987.199999999997</v>
      </c>
      <c r="O1032">
        <f>Table1[[#This Row],[Total Price]]-Table1[[#This Row],[Discount Amount]]</f>
        <v>44172.800000000003</v>
      </c>
    </row>
    <row r="1033" spans="1:15" x14ac:dyDescent="0.3">
      <c r="A1033" t="s">
        <v>3124</v>
      </c>
      <c r="B1033" s="1">
        <v>44985</v>
      </c>
      <c r="C1033" t="s">
        <v>3125</v>
      </c>
      <c r="D1033" t="s">
        <v>19</v>
      </c>
      <c r="E1033">
        <v>1</v>
      </c>
      <c r="F1033">
        <v>49591</v>
      </c>
      <c r="G1033" s="9">
        <v>0.28000000000000003</v>
      </c>
      <c r="H1033" t="s">
        <v>13</v>
      </c>
      <c r="I1033" t="s">
        <v>3126</v>
      </c>
      <c r="J1033" s="14" t="s">
        <v>73</v>
      </c>
      <c r="K1033">
        <v>8</v>
      </c>
      <c r="L1033" t="s">
        <v>28</v>
      </c>
      <c r="M1033">
        <f>Table1[[#This Row],[UnitPrice]]*Table1[[#This Row],[Quantity]]</f>
        <v>49591</v>
      </c>
      <c r="N1033">
        <f>Table1[[#This Row],[Total Price]]*Table1[[#This Row],[Discount]]</f>
        <v>13885.480000000001</v>
      </c>
      <c r="O1033">
        <f>Table1[[#This Row],[Total Price]]-Table1[[#This Row],[Discount Amount]]</f>
        <v>35705.519999999997</v>
      </c>
    </row>
    <row r="1034" spans="1:15" x14ac:dyDescent="0.3">
      <c r="A1034" t="s">
        <v>3127</v>
      </c>
      <c r="B1034" s="1">
        <v>45036</v>
      </c>
      <c r="C1034" t="s">
        <v>3128</v>
      </c>
      <c r="D1034" t="s">
        <v>31</v>
      </c>
      <c r="E1034">
        <v>1</v>
      </c>
      <c r="F1034">
        <v>37592</v>
      </c>
      <c r="G1034" s="9">
        <v>0.03</v>
      </c>
      <c r="H1034" t="s">
        <v>20</v>
      </c>
      <c r="I1034" t="s">
        <v>3129</v>
      </c>
      <c r="J1034" s="13" t="s">
        <v>37</v>
      </c>
      <c r="K1034">
        <v>6</v>
      </c>
      <c r="L1034" t="s">
        <v>22</v>
      </c>
      <c r="M1034">
        <f>Table1[[#This Row],[UnitPrice]]*Table1[[#This Row],[Quantity]]</f>
        <v>37592</v>
      </c>
      <c r="N1034">
        <f>Table1[[#This Row],[Total Price]]*Table1[[#This Row],[Discount]]</f>
        <v>1127.76</v>
      </c>
      <c r="O1034">
        <f>Table1[[#This Row],[Total Price]]-Table1[[#This Row],[Discount Amount]]</f>
        <v>36464.239999999998</v>
      </c>
    </row>
    <row r="1035" spans="1:15" x14ac:dyDescent="0.3">
      <c r="A1035" t="s">
        <v>3130</v>
      </c>
      <c r="B1035" s="1">
        <v>45650</v>
      </c>
      <c r="C1035" t="s">
        <v>3131</v>
      </c>
      <c r="D1035" t="s">
        <v>12</v>
      </c>
      <c r="E1035">
        <v>2</v>
      </c>
      <c r="F1035">
        <v>2816</v>
      </c>
      <c r="G1035" s="9">
        <v>0.23</v>
      </c>
      <c r="H1035" t="s">
        <v>45</v>
      </c>
      <c r="I1035" t="s">
        <v>3132</v>
      </c>
      <c r="J1035" s="14" t="s">
        <v>37</v>
      </c>
      <c r="K1035">
        <v>2</v>
      </c>
      <c r="L1035" t="s">
        <v>22</v>
      </c>
      <c r="M1035">
        <f>Table1[[#This Row],[UnitPrice]]*Table1[[#This Row],[Quantity]]</f>
        <v>5632</v>
      </c>
      <c r="N1035">
        <f>Table1[[#This Row],[Total Price]]*Table1[[#This Row],[Discount]]</f>
        <v>1295.3600000000001</v>
      </c>
      <c r="O1035">
        <f>Table1[[#This Row],[Total Price]]-Table1[[#This Row],[Discount Amount]]</f>
        <v>4336.6399999999994</v>
      </c>
    </row>
    <row r="1036" spans="1:15" x14ac:dyDescent="0.3">
      <c r="A1036" t="s">
        <v>3133</v>
      </c>
      <c r="B1036" s="1">
        <v>45459</v>
      </c>
      <c r="C1036" t="s">
        <v>3134</v>
      </c>
      <c r="D1036" t="s">
        <v>36</v>
      </c>
      <c r="E1036">
        <v>1</v>
      </c>
      <c r="F1036">
        <v>5842</v>
      </c>
      <c r="G1036" s="9">
        <v>0.22</v>
      </c>
      <c r="H1036" t="s">
        <v>50</v>
      </c>
      <c r="I1036" t="s">
        <v>3135</v>
      </c>
      <c r="J1036" s="13" t="s">
        <v>14</v>
      </c>
      <c r="K1036">
        <v>8</v>
      </c>
      <c r="L1036" t="s">
        <v>33</v>
      </c>
      <c r="M1036">
        <f>Table1[[#This Row],[UnitPrice]]*Table1[[#This Row],[Quantity]]</f>
        <v>5842</v>
      </c>
      <c r="N1036">
        <f>Table1[[#This Row],[Total Price]]*Table1[[#This Row],[Discount]]</f>
        <v>1285.24</v>
      </c>
      <c r="O1036">
        <f>Table1[[#This Row],[Total Price]]-Table1[[#This Row],[Discount Amount]]</f>
        <v>4556.76</v>
      </c>
    </row>
    <row r="1037" spans="1:15" x14ac:dyDescent="0.3">
      <c r="A1037" t="s">
        <v>3136</v>
      </c>
      <c r="B1037" s="1">
        <v>45242</v>
      </c>
      <c r="C1037" t="s">
        <v>3137</v>
      </c>
      <c r="D1037" t="s">
        <v>44</v>
      </c>
      <c r="E1037">
        <v>1</v>
      </c>
      <c r="F1037">
        <v>46146</v>
      </c>
      <c r="G1037" s="9">
        <v>7.0000000000000007E-2</v>
      </c>
      <c r="H1037" t="s">
        <v>50</v>
      </c>
      <c r="I1037" t="s">
        <v>3138</v>
      </c>
      <c r="J1037" s="14" t="s">
        <v>73</v>
      </c>
      <c r="K1037">
        <v>5</v>
      </c>
      <c r="L1037" t="s">
        <v>22</v>
      </c>
      <c r="M1037">
        <f>Table1[[#This Row],[UnitPrice]]*Table1[[#This Row],[Quantity]]</f>
        <v>46146</v>
      </c>
      <c r="N1037">
        <f>Table1[[#This Row],[Total Price]]*Table1[[#This Row],[Discount]]</f>
        <v>3230.2200000000003</v>
      </c>
      <c r="O1037">
        <f>Table1[[#This Row],[Total Price]]-Table1[[#This Row],[Discount Amount]]</f>
        <v>42915.78</v>
      </c>
    </row>
    <row r="1038" spans="1:15" x14ac:dyDescent="0.3">
      <c r="A1038" t="s">
        <v>3139</v>
      </c>
      <c r="B1038" s="1">
        <v>45443</v>
      </c>
      <c r="C1038" t="s">
        <v>3140</v>
      </c>
      <c r="D1038" t="s">
        <v>19</v>
      </c>
      <c r="E1038">
        <v>1</v>
      </c>
      <c r="F1038">
        <v>45592</v>
      </c>
      <c r="G1038" s="9">
        <v>0.21</v>
      </c>
      <c r="H1038" t="s">
        <v>45</v>
      </c>
      <c r="I1038" t="s">
        <v>3141</v>
      </c>
      <c r="J1038" s="13" t="s">
        <v>14</v>
      </c>
      <c r="K1038">
        <v>8</v>
      </c>
      <c r="L1038" t="s">
        <v>33</v>
      </c>
      <c r="M1038">
        <f>Table1[[#This Row],[UnitPrice]]*Table1[[#This Row],[Quantity]]</f>
        <v>45592</v>
      </c>
      <c r="N1038">
        <f>Table1[[#This Row],[Total Price]]*Table1[[#This Row],[Discount]]</f>
        <v>9574.32</v>
      </c>
      <c r="O1038">
        <f>Table1[[#This Row],[Total Price]]-Table1[[#This Row],[Discount Amount]]</f>
        <v>36017.68</v>
      </c>
    </row>
    <row r="1039" spans="1:15" x14ac:dyDescent="0.3">
      <c r="A1039" t="s">
        <v>3142</v>
      </c>
      <c r="B1039" s="1">
        <v>45273</v>
      </c>
      <c r="C1039" t="s">
        <v>3143</v>
      </c>
      <c r="D1039" t="s">
        <v>36</v>
      </c>
      <c r="E1039">
        <v>1</v>
      </c>
      <c r="F1039">
        <v>7796</v>
      </c>
      <c r="G1039" s="9">
        <v>0.14000000000000001</v>
      </c>
      <c r="H1039" t="s">
        <v>50</v>
      </c>
      <c r="I1039" t="s">
        <v>3144</v>
      </c>
      <c r="J1039" s="14" t="s">
        <v>73</v>
      </c>
      <c r="K1039">
        <v>1</v>
      </c>
      <c r="L1039" t="s">
        <v>60</v>
      </c>
      <c r="M1039">
        <f>Table1[[#This Row],[UnitPrice]]*Table1[[#This Row],[Quantity]]</f>
        <v>7796</v>
      </c>
      <c r="N1039">
        <f>Table1[[#This Row],[Total Price]]*Table1[[#This Row],[Discount]]</f>
        <v>1091.44</v>
      </c>
      <c r="O1039">
        <f>Table1[[#This Row],[Total Price]]-Table1[[#This Row],[Discount Amount]]</f>
        <v>6704.5599999999995</v>
      </c>
    </row>
    <row r="1040" spans="1:15" x14ac:dyDescent="0.3">
      <c r="A1040" t="s">
        <v>3145</v>
      </c>
      <c r="B1040" s="1">
        <v>45731</v>
      </c>
      <c r="C1040" t="s">
        <v>3146</v>
      </c>
      <c r="D1040" t="s">
        <v>25</v>
      </c>
      <c r="E1040">
        <v>1</v>
      </c>
      <c r="F1040">
        <v>13984</v>
      </c>
      <c r="G1040" s="9">
        <v>0.35</v>
      </c>
      <c r="H1040" t="s">
        <v>13</v>
      </c>
      <c r="I1040" t="s">
        <v>3147</v>
      </c>
      <c r="J1040" s="13" t="s">
        <v>73</v>
      </c>
      <c r="K1040">
        <v>5</v>
      </c>
      <c r="L1040" t="s">
        <v>33</v>
      </c>
      <c r="M1040">
        <f>Table1[[#This Row],[UnitPrice]]*Table1[[#This Row],[Quantity]]</f>
        <v>13984</v>
      </c>
      <c r="N1040">
        <f>Table1[[#This Row],[Total Price]]*Table1[[#This Row],[Discount]]</f>
        <v>4894.3999999999996</v>
      </c>
      <c r="O1040">
        <f>Table1[[#This Row],[Total Price]]-Table1[[#This Row],[Discount Amount]]</f>
        <v>9089.6</v>
      </c>
    </row>
    <row r="1041" spans="1:15" x14ac:dyDescent="0.3">
      <c r="A1041" t="s">
        <v>3148</v>
      </c>
      <c r="B1041" s="1">
        <v>45836</v>
      </c>
      <c r="C1041" t="s">
        <v>3149</v>
      </c>
      <c r="D1041" t="s">
        <v>58</v>
      </c>
      <c r="E1041">
        <v>1</v>
      </c>
      <c r="F1041">
        <v>5178</v>
      </c>
      <c r="G1041" s="9">
        <v>0</v>
      </c>
      <c r="H1041" t="s">
        <v>26</v>
      </c>
      <c r="I1041" t="s">
        <v>3150</v>
      </c>
      <c r="J1041" s="14" t="s">
        <v>73</v>
      </c>
      <c r="K1041">
        <v>2</v>
      </c>
      <c r="L1041" t="s">
        <v>16</v>
      </c>
      <c r="M1041">
        <f>Table1[[#This Row],[UnitPrice]]*Table1[[#This Row],[Quantity]]</f>
        <v>5178</v>
      </c>
      <c r="N1041">
        <f>Table1[[#This Row],[Total Price]]*Table1[[#This Row],[Discount]]</f>
        <v>0</v>
      </c>
      <c r="O1041">
        <f>Table1[[#This Row],[Total Price]]-Table1[[#This Row],[Discount Amount]]</f>
        <v>5178</v>
      </c>
    </row>
    <row r="1042" spans="1:15" x14ac:dyDescent="0.3">
      <c r="A1042" t="s">
        <v>3151</v>
      </c>
      <c r="B1042" s="1">
        <v>45245</v>
      </c>
      <c r="C1042" t="s">
        <v>3152</v>
      </c>
      <c r="D1042" t="s">
        <v>25</v>
      </c>
      <c r="E1042">
        <v>1</v>
      </c>
      <c r="F1042">
        <v>19360</v>
      </c>
      <c r="G1042" s="9">
        <v>0.05</v>
      </c>
      <c r="H1042" t="s">
        <v>13</v>
      </c>
      <c r="I1042" t="s">
        <v>3153</v>
      </c>
      <c r="J1042" s="13" t="s">
        <v>37</v>
      </c>
      <c r="K1042">
        <v>5</v>
      </c>
      <c r="L1042" t="s">
        <v>60</v>
      </c>
      <c r="M1042">
        <f>Table1[[#This Row],[UnitPrice]]*Table1[[#This Row],[Quantity]]</f>
        <v>19360</v>
      </c>
      <c r="N1042">
        <f>Table1[[#This Row],[Total Price]]*Table1[[#This Row],[Discount]]</f>
        <v>968</v>
      </c>
      <c r="O1042">
        <f>Table1[[#This Row],[Total Price]]-Table1[[#This Row],[Discount Amount]]</f>
        <v>18392</v>
      </c>
    </row>
    <row r="1043" spans="1:15" x14ac:dyDescent="0.3">
      <c r="A1043" t="s">
        <v>3154</v>
      </c>
      <c r="B1043" s="1">
        <v>44968</v>
      </c>
      <c r="C1043" t="s">
        <v>3155</v>
      </c>
      <c r="D1043" t="s">
        <v>12</v>
      </c>
      <c r="E1043">
        <v>3</v>
      </c>
      <c r="F1043">
        <v>8025</v>
      </c>
      <c r="G1043" s="9">
        <v>0.46</v>
      </c>
      <c r="H1043" t="s">
        <v>45</v>
      </c>
      <c r="I1043" t="s">
        <v>3156</v>
      </c>
      <c r="J1043" s="14" t="s">
        <v>14</v>
      </c>
      <c r="K1043">
        <v>9</v>
      </c>
      <c r="L1043" t="s">
        <v>60</v>
      </c>
      <c r="M1043">
        <f>Table1[[#This Row],[UnitPrice]]*Table1[[#This Row],[Quantity]]</f>
        <v>24075</v>
      </c>
      <c r="N1043">
        <f>Table1[[#This Row],[Total Price]]*Table1[[#This Row],[Discount]]</f>
        <v>11074.5</v>
      </c>
      <c r="O1043">
        <f>Table1[[#This Row],[Total Price]]-Table1[[#This Row],[Discount Amount]]</f>
        <v>13000.5</v>
      </c>
    </row>
    <row r="1044" spans="1:15" x14ac:dyDescent="0.3">
      <c r="A1044" t="s">
        <v>3157</v>
      </c>
      <c r="B1044" s="1">
        <v>45635</v>
      </c>
      <c r="C1044" t="s">
        <v>3158</v>
      </c>
      <c r="D1044" t="s">
        <v>25</v>
      </c>
      <c r="E1044">
        <v>2</v>
      </c>
      <c r="F1044">
        <v>3927</v>
      </c>
      <c r="G1044" s="9">
        <v>0.22</v>
      </c>
      <c r="H1044" t="s">
        <v>13</v>
      </c>
      <c r="I1044" t="s">
        <v>3159</v>
      </c>
      <c r="J1044" s="13" t="s">
        <v>14</v>
      </c>
      <c r="K1044">
        <v>2</v>
      </c>
      <c r="L1044" t="s">
        <v>33</v>
      </c>
      <c r="M1044">
        <f>Table1[[#This Row],[UnitPrice]]*Table1[[#This Row],[Quantity]]</f>
        <v>7854</v>
      </c>
      <c r="N1044">
        <f>Table1[[#This Row],[Total Price]]*Table1[[#This Row],[Discount]]</f>
        <v>1727.88</v>
      </c>
      <c r="O1044">
        <f>Table1[[#This Row],[Total Price]]-Table1[[#This Row],[Discount Amount]]</f>
        <v>6126.12</v>
      </c>
    </row>
    <row r="1045" spans="1:15" x14ac:dyDescent="0.3">
      <c r="A1045" t="s">
        <v>3160</v>
      </c>
      <c r="B1045" s="1">
        <v>45668</v>
      </c>
      <c r="C1045" t="s">
        <v>3161</v>
      </c>
      <c r="D1045" t="s">
        <v>25</v>
      </c>
      <c r="E1045">
        <v>1</v>
      </c>
      <c r="F1045">
        <v>14565</v>
      </c>
      <c r="G1045" s="9">
        <v>0.09</v>
      </c>
      <c r="H1045" t="s">
        <v>45</v>
      </c>
      <c r="I1045" t="s">
        <v>3162</v>
      </c>
      <c r="J1045" s="14" t="s">
        <v>14</v>
      </c>
      <c r="K1045">
        <v>5</v>
      </c>
      <c r="L1045" t="s">
        <v>16</v>
      </c>
      <c r="M1045">
        <f>Table1[[#This Row],[UnitPrice]]*Table1[[#This Row],[Quantity]]</f>
        <v>14565</v>
      </c>
      <c r="N1045">
        <f>Table1[[#This Row],[Total Price]]*Table1[[#This Row],[Discount]]</f>
        <v>1310.85</v>
      </c>
      <c r="O1045">
        <f>Table1[[#This Row],[Total Price]]-Table1[[#This Row],[Discount Amount]]</f>
        <v>13254.15</v>
      </c>
    </row>
    <row r="1046" spans="1:15" x14ac:dyDescent="0.3">
      <c r="A1046" t="s">
        <v>3163</v>
      </c>
      <c r="B1046" s="1">
        <v>45830</v>
      </c>
      <c r="C1046" t="s">
        <v>3164</v>
      </c>
      <c r="D1046" t="s">
        <v>36</v>
      </c>
      <c r="E1046">
        <v>2</v>
      </c>
      <c r="F1046">
        <v>6640</v>
      </c>
      <c r="G1046" s="9">
        <v>0.4</v>
      </c>
      <c r="H1046" t="s">
        <v>26</v>
      </c>
      <c r="I1046" t="s">
        <v>3165</v>
      </c>
      <c r="J1046" s="13" t="s">
        <v>37</v>
      </c>
      <c r="K1046">
        <v>4</v>
      </c>
      <c r="L1046" t="s">
        <v>22</v>
      </c>
      <c r="M1046">
        <f>Table1[[#This Row],[UnitPrice]]*Table1[[#This Row],[Quantity]]</f>
        <v>13280</v>
      </c>
      <c r="N1046">
        <f>Table1[[#This Row],[Total Price]]*Table1[[#This Row],[Discount]]</f>
        <v>5312</v>
      </c>
      <c r="O1046">
        <f>Table1[[#This Row],[Total Price]]-Table1[[#This Row],[Discount Amount]]</f>
        <v>7968</v>
      </c>
    </row>
    <row r="1047" spans="1:15" x14ac:dyDescent="0.3">
      <c r="A1047" t="s">
        <v>3166</v>
      </c>
      <c r="B1047" s="1">
        <v>45555</v>
      </c>
      <c r="C1047" t="s">
        <v>3167</v>
      </c>
      <c r="D1047" t="s">
        <v>44</v>
      </c>
      <c r="E1047">
        <v>3</v>
      </c>
      <c r="F1047">
        <v>43242</v>
      </c>
      <c r="G1047" s="9">
        <v>0.43</v>
      </c>
      <c r="H1047" t="s">
        <v>45</v>
      </c>
      <c r="I1047" t="s">
        <v>3168</v>
      </c>
      <c r="J1047" s="14" t="s">
        <v>73</v>
      </c>
      <c r="K1047">
        <v>7</v>
      </c>
      <c r="L1047" t="s">
        <v>28</v>
      </c>
      <c r="M1047">
        <f>Table1[[#This Row],[UnitPrice]]*Table1[[#This Row],[Quantity]]</f>
        <v>129726</v>
      </c>
      <c r="N1047">
        <f>Table1[[#This Row],[Total Price]]*Table1[[#This Row],[Discount]]</f>
        <v>55782.18</v>
      </c>
      <c r="O1047">
        <f>Table1[[#This Row],[Total Price]]-Table1[[#This Row],[Discount Amount]]</f>
        <v>73943.820000000007</v>
      </c>
    </row>
    <row r="1048" spans="1:15" x14ac:dyDescent="0.3">
      <c r="A1048" t="s">
        <v>3169</v>
      </c>
      <c r="B1048" s="1">
        <v>45572</v>
      </c>
      <c r="C1048" t="s">
        <v>3170</v>
      </c>
      <c r="D1048" t="s">
        <v>25</v>
      </c>
      <c r="E1048">
        <v>2</v>
      </c>
      <c r="F1048">
        <v>13361</v>
      </c>
      <c r="G1048" s="9">
        <v>0.11</v>
      </c>
      <c r="H1048" t="s">
        <v>20</v>
      </c>
      <c r="I1048" t="s">
        <v>3171</v>
      </c>
      <c r="J1048" s="13" t="s">
        <v>14</v>
      </c>
      <c r="K1048">
        <v>4</v>
      </c>
      <c r="L1048" t="s">
        <v>16</v>
      </c>
      <c r="M1048">
        <f>Table1[[#This Row],[UnitPrice]]*Table1[[#This Row],[Quantity]]</f>
        <v>26722</v>
      </c>
      <c r="N1048">
        <f>Table1[[#This Row],[Total Price]]*Table1[[#This Row],[Discount]]</f>
        <v>2939.42</v>
      </c>
      <c r="O1048">
        <f>Table1[[#This Row],[Total Price]]-Table1[[#This Row],[Discount Amount]]</f>
        <v>23782.58</v>
      </c>
    </row>
    <row r="1049" spans="1:15" x14ac:dyDescent="0.3">
      <c r="A1049" t="s">
        <v>3172</v>
      </c>
      <c r="B1049" s="1">
        <v>45100</v>
      </c>
      <c r="C1049" t="s">
        <v>3173</v>
      </c>
      <c r="D1049" t="s">
        <v>31</v>
      </c>
      <c r="E1049">
        <v>3</v>
      </c>
      <c r="F1049">
        <v>40929</v>
      </c>
      <c r="G1049" s="9">
        <v>0.36</v>
      </c>
      <c r="H1049" t="s">
        <v>45</v>
      </c>
      <c r="I1049" t="s">
        <v>3174</v>
      </c>
      <c r="J1049" s="14" t="s">
        <v>14</v>
      </c>
      <c r="K1049">
        <v>6</v>
      </c>
      <c r="L1049" t="s">
        <v>22</v>
      </c>
      <c r="M1049">
        <f>Table1[[#This Row],[UnitPrice]]*Table1[[#This Row],[Quantity]]</f>
        <v>122787</v>
      </c>
      <c r="N1049">
        <f>Table1[[#This Row],[Total Price]]*Table1[[#This Row],[Discount]]</f>
        <v>44203.32</v>
      </c>
      <c r="O1049">
        <f>Table1[[#This Row],[Total Price]]-Table1[[#This Row],[Discount Amount]]</f>
        <v>78583.679999999993</v>
      </c>
    </row>
    <row r="1050" spans="1:15" x14ac:dyDescent="0.3">
      <c r="A1050" t="s">
        <v>3175</v>
      </c>
      <c r="B1050" s="1">
        <v>45544</v>
      </c>
      <c r="C1050" t="s">
        <v>3176</v>
      </c>
      <c r="D1050" t="s">
        <v>12</v>
      </c>
      <c r="E1050">
        <v>2</v>
      </c>
      <c r="F1050">
        <v>8648</v>
      </c>
      <c r="G1050" s="9">
        <v>0.31</v>
      </c>
      <c r="H1050" t="s">
        <v>13</v>
      </c>
      <c r="I1050" t="s">
        <v>3177</v>
      </c>
      <c r="J1050" s="13" t="s">
        <v>14</v>
      </c>
      <c r="K1050">
        <v>9</v>
      </c>
      <c r="L1050" t="s">
        <v>60</v>
      </c>
      <c r="M1050">
        <f>Table1[[#This Row],[UnitPrice]]*Table1[[#This Row],[Quantity]]</f>
        <v>17296</v>
      </c>
      <c r="N1050">
        <f>Table1[[#This Row],[Total Price]]*Table1[[#This Row],[Discount]]</f>
        <v>5361.76</v>
      </c>
      <c r="O1050">
        <f>Table1[[#This Row],[Total Price]]-Table1[[#This Row],[Discount Amount]]</f>
        <v>11934.24</v>
      </c>
    </row>
    <row r="1051" spans="1:15" x14ac:dyDescent="0.3">
      <c r="A1051" t="s">
        <v>3178</v>
      </c>
      <c r="B1051" s="1">
        <v>45491</v>
      </c>
      <c r="C1051" t="s">
        <v>3179</v>
      </c>
      <c r="D1051" t="s">
        <v>58</v>
      </c>
      <c r="E1051">
        <v>2</v>
      </c>
      <c r="F1051">
        <v>2748</v>
      </c>
      <c r="G1051" s="9">
        <v>0.37</v>
      </c>
      <c r="H1051" t="s">
        <v>26</v>
      </c>
      <c r="I1051" t="s">
        <v>3180</v>
      </c>
      <c r="J1051" s="14" t="s">
        <v>14</v>
      </c>
      <c r="K1051">
        <v>6</v>
      </c>
      <c r="L1051" t="s">
        <v>16</v>
      </c>
      <c r="M1051">
        <f>Table1[[#This Row],[UnitPrice]]*Table1[[#This Row],[Quantity]]</f>
        <v>5496</v>
      </c>
      <c r="N1051">
        <f>Table1[[#This Row],[Total Price]]*Table1[[#This Row],[Discount]]</f>
        <v>2033.52</v>
      </c>
      <c r="O1051">
        <f>Table1[[#This Row],[Total Price]]-Table1[[#This Row],[Discount Amount]]</f>
        <v>3462.48</v>
      </c>
    </row>
    <row r="1052" spans="1:15" x14ac:dyDescent="0.3">
      <c r="A1052" t="s">
        <v>3181</v>
      </c>
      <c r="B1052" s="1">
        <v>45158</v>
      </c>
      <c r="C1052" t="s">
        <v>3182</v>
      </c>
      <c r="D1052" t="s">
        <v>44</v>
      </c>
      <c r="E1052">
        <v>1</v>
      </c>
      <c r="F1052">
        <v>58782</v>
      </c>
      <c r="G1052" s="9">
        <v>0.39</v>
      </c>
      <c r="H1052" t="s">
        <v>20</v>
      </c>
      <c r="I1052" t="s">
        <v>3183</v>
      </c>
      <c r="J1052" s="13" t="s">
        <v>37</v>
      </c>
      <c r="K1052">
        <v>9</v>
      </c>
      <c r="L1052" t="s">
        <v>16</v>
      </c>
      <c r="M1052">
        <f>Table1[[#This Row],[UnitPrice]]*Table1[[#This Row],[Quantity]]</f>
        <v>58782</v>
      </c>
      <c r="N1052">
        <f>Table1[[#This Row],[Total Price]]*Table1[[#This Row],[Discount]]</f>
        <v>22924.98</v>
      </c>
      <c r="O1052">
        <f>Table1[[#This Row],[Total Price]]-Table1[[#This Row],[Discount Amount]]</f>
        <v>35857.020000000004</v>
      </c>
    </row>
    <row r="1053" spans="1:15" x14ac:dyDescent="0.3">
      <c r="A1053" t="s">
        <v>3184</v>
      </c>
      <c r="B1053" s="1">
        <v>45721</v>
      </c>
      <c r="C1053" t="s">
        <v>3185</v>
      </c>
      <c r="D1053" t="s">
        <v>12</v>
      </c>
      <c r="E1053">
        <v>2</v>
      </c>
      <c r="F1053">
        <v>6450</v>
      </c>
      <c r="G1053" s="9">
        <v>0.33</v>
      </c>
      <c r="H1053" t="s">
        <v>45</v>
      </c>
      <c r="I1053" t="s">
        <v>3186</v>
      </c>
      <c r="J1053" s="14" t="s">
        <v>14</v>
      </c>
      <c r="K1053">
        <v>5</v>
      </c>
      <c r="L1053" t="s">
        <v>33</v>
      </c>
      <c r="M1053">
        <f>Table1[[#This Row],[UnitPrice]]*Table1[[#This Row],[Quantity]]</f>
        <v>12900</v>
      </c>
      <c r="N1053">
        <f>Table1[[#This Row],[Total Price]]*Table1[[#This Row],[Discount]]</f>
        <v>4257</v>
      </c>
      <c r="O1053">
        <f>Table1[[#This Row],[Total Price]]-Table1[[#This Row],[Discount Amount]]</f>
        <v>8643</v>
      </c>
    </row>
    <row r="1054" spans="1:15" x14ac:dyDescent="0.3">
      <c r="A1054" t="s">
        <v>3187</v>
      </c>
      <c r="B1054" s="1">
        <v>45180</v>
      </c>
      <c r="C1054" t="s">
        <v>3188</v>
      </c>
      <c r="D1054" t="s">
        <v>25</v>
      </c>
      <c r="E1054">
        <v>1</v>
      </c>
      <c r="F1054">
        <v>19071</v>
      </c>
      <c r="G1054" s="9">
        <v>0.48</v>
      </c>
      <c r="H1054" t="s">
        <v>20</v>
      </c>
      <c r="I1054" t="s">
        <v>3189</v>
      </c>
      <c r="J1054" s="13" t="s">
        <v>14</v>
      </c>
      <c r="K1054">
        <v>1</v>
      </c>
      <c r="L1054" t="s">
        <v>60</v>
      </c>
      <c r="M1054">
        <f>Table1[[#This Row],[UnitPrice]]*Table1[[#This Row],[Quantity]]</f>
        <v>19071</v>
      </c>
      <c r="N1054">
        <f>Table1[[#This Row],[Total Price]]*Table1[[#This Row],[Discount]]</f>
        <v>9154.08</v>
      </c>
      <c r="O1054">
        <f>Table1[[#This Row],[Total Price]]-Table1[[#This Row],[Discount Amount]]</f>
        <v>9916.92</v>
      </c>
    </row>
    <row r="1055" spans="1:15" x14ac:dyDescent="0.3">
      <c r="A1055" t="s">
        <v>3190</v>
      </c>
      <c r="B1055" s="1">
        <v>45550</v>
      </c>
      <c r="C1055" t="s">
        <v>3191</v>
      </c>
      <c r="D1055" t="s">
        <v>19</v>
      </c>
      <c r="E1055">
        <v>1</v>
      </c>
      <c r="F1055">
        <v>44386</v>
      </c>
      <c r="G1055" s="9">
        <v>0.43</v>
      </c>
      <c r="H1055" t="s">
        <v>20</v>
      </c>
      <c r="I1055" t="s">
        <v>3192</v>
      </c>
      <c r="J1055" s="14" t="s">
        <v>73</v>
      </c>
      <c r="K1055">
        <v>2</v>
      </c>
      <c r="L1055" t="s">
        <v>16</v>
      </c>
      <c r="M1055">
        <f>Table1[[#This Row],[UnitPrice]]*Table1[[#This Row],[Quantity]]</f>
        <v>44386</v>
      </c>
      <c r="N1055">
        <f>Table1[[#This Row],[Total Price]]*Table1[[#This Row],[Discount]]</f>
        <v>19085.98</v>
      </c>
      <c r="O1055">
        <f>Table1[[#This Row],[Total Price]]-Table1[[#This Row],[Discount Amount]]</f>
        <v>25300.02</v>
      </c>
    </row>
    <row r="1056" spans="1:15" x14ac:dyDescent="0.3">
      <c r="A1056" t="s">
        <v>3193</v>
      </c>
      <c r="B1056" s="1">
        <v>45259</v>
      </c>
      <c r="C1056" t="s">
        <v>3194</v>
      </c>
      <c r="D1056" t="s">
        <v>36</v>
      </c>
      <c r="E1056">
        <v>3</v>
      </c>
      <c r="F1056">
        <v>5299</v>
      </c>
      <c r="G1056" s="9">
        <v>0.11</v>
      </c>
      <c r="H1056" t="s">
        <v>13</v>
      </c>
      <c r="I1056" t="s">
        <v>3195</v>
      </c>
      <c r="J1056" s="13" t="s">
        <v>37</v>
      </c>
      <c r="K1056">
        <v>3</v>
      </c>
      <c r="L1056" t="s">
        <v>16</v>
      </c>
      <c r="M1056">
        <f>Table1[[#This Row],[UnitPrice]]*Table1[[#This Row],[Quantity]]</f>
        <v>15897</v>
      </c>
      <c r="N1056">
        <f>Table1[[#This Row],[Total Price]]*Table1[[#This Row],[Discount]]</f>
        <v>1748.67</v>
      </c>
      <c r="O1056">
        <f>Table1[[#This Row],[Total Price]]-Table1[[#This Row],[Discount Amount]]</f>
        <v>14148.33</v>
      </c>
    </row>
    <row r="1057" spans="1:15" x14ac:dyDescent="0.3">
      <c r="A1057" t="s">
        <v>3196</v>
      </c>
      <c r="B1057" s="1">
        <v>45222</v>
      </c>
      <c r="C1057" t="s">
        <v>3197</v>
      </c>
      <c r="D1057" t="s">
        <v>12</v>
      </c>
      <c r="E1057">
        <v>3</v>
      </c>
      <c r="F1057">
        <v>6676</v>
      </c>
      <c r="G1057" s="9">
        <v>0.46</v>
      </c>
      <c r="H1057" t="s">
        <v>13</v>
      </c>
      <c r="I1057" t="s">
        <v>3198</v>
      </c>
      <c r="J1057" s="14" t="s">
        <v>37</v>
      </c>
      <c r="K1057">
        <v>9</v>
      </c>
      <c r="L1057" t="s">
        <v>28</v>
      </c>
      <c r="M1057">
        <f>Table1[[#This Row],[UnitPrice]]*Table1[[#This Row],[Quantity]]</f>
        <v>20028</v>
      </c>
      <c r="N1057">
        <f>Table1[[#This Row],[Total Price]]*Table1[[#This Row],[Discount]]</f>
        <v>9212.880000000001</v>
      </c>
      <c r="O1057">
        <f>Table1[[#This Row],[Total Price]]-Table1[[#This Row],[Discount Amount]]</f>
        <v>10815.119999999999</v>
      </c>
    </row>
    <row r="1058" spans="1:15" x14ac:dyDescent="0.3">
      <c r="A1058" t="s">
        <v>3199</v>
      </c>
      <c r="B1058" s="1">
        <v>45457</v>
      </c>
      <c r="C1058" t="s">
        <v>3200</v>
      </c>
      <c r="D1058" t="s">
        <v>19</v>
      </c>
      <c r="E1058">
        <v>3</v>
      </c>
      <c r="F1058">
        <v>27919</v>
      </c>
      <c r="G1058" s="9">
        <v>0.18</v>
      </c>
      <c r="H1058" t="s">
        <v>20</v>
      </c>
      <c r="I1058" t="s">
        <v>3201</v>
      </c>
      <c r="J1058" s="13" t="s">
        <v>73</v>
      </c>
      <c r="K1058">
        <v>6</v>
      </c>
      <c r="L1058" t="s">
        <v>22</v>
      </c>
      <c r="M1058">
        <f>Table1[[#This Row],[UnitPrice]]*Table1[[#This Row],[Quantity]]</f>
        <v>83757</v>
      </c>
      <c r="N1058">
        <f>Table1[[#This Row],[Total Price]]*Table1[[#This Row],[Discount]]</f>
        <v>15076.26</v>
      </c>
      <c r="O1058">
        <f>Table1[[#This Row],[Total Price]]-Table1[[#This Row],[Discount Amount]]</f>
        <v>68680.740000000005</v>
      </c>
    </row>
    <row r="1059" spans="1:15" x14ac:dyDescent="0.3">
      <c r="A1059" t="s">
        <v>3202</v>
      </c>
      <c r="B1059" s="1">
        <v>45559</v>
      </c>
      <c r="C1059" t="s">
        <v>3203</v>
      </c>
      <c r="D1059" t="s">
        <v>44</v>
      </c>
      <c r="E1059">
        <v>2</v>
      </c>
      <c r="F1059">
        <v>75492</v>
      </c>
      <c r="G1059" s="9">
        <v>0.36</v>
      </c>
      <c r="H1059" t="s">
        <v>13</v>
      </c>
      <c r="I1059" t="s">
        <v>3204</v>
      </c>
      <c r="J1059" s="14" t="s">
        <v>14</v>
      </c>
      <c r="K1059">
        <v>3</v>
      </c>
      <c r="L1059" t="s">
        <v>33</v>
      </c>
      <c r="M1059">
        <f>Table1[[#This Row],[UnitPrice]]*Table1[[#This Row],[Quantity]]</f>
        <v>150984</v>
      </c>
      <c r="N1059">
        <f>Table1[[#This Row],[Total Price]]*Table1[[#This Row],[Discount]]</f>
        <v>54354.239999999998</v>
      </c>
      <c r="O1059">
        <f>Table1[[#This Row],[Total Price]]-Table1[[#This Row],[Discount Amount]]</f>
        <v>96629.760000000009</v>
      </c>
    </row>
    <row r="1060" spans="1:15" x14ac:dyDescent="0.3">
      <c r="A1060" t="s">
        <v>3205</v>
      </c>
      <c r="B1060" s="1">
        <v>45177</v>
      </c>
      <c r="C1060" t="s">
        <v>3206</v>
      </c>
      <c r="D1060" t="s">
        <v>58</v>
      </c>
      <c r="E1060">
        <v>3</v>
      </c>
      <c r="F1060">
        <v>4537</v>
      </c>
      <c r="G1060" s="9">
        <v>0.42</v>
      </c>
      <c r="H1060" t="s">
        <v>26</v>
      </c>
      <c r="I1060" t="s">
        <v>3207</v>
      </c>
      <c r="J1060" s="13" t="s">
        <v>14</v>
      </c>
      <c r="K1060">
        <v>2</v>
      </c>
      <c r="L1060" t="s">
        <v>16</v>
      </c>
      <c r="M1060">
        <f>Table1[[#This Row],[UnitPrice]]*Table1[[#This Row],[Quantity]]</f>
        <v>13611</v>
      </c>
      <c r="N1060">
        <f>Table1[[#This Row],[Total Price]]*Table1[[#This Row],[Discount]]</f>
        <v>5716.62</v>
      </c>
      <c r="O1060">
        <f>Table1[[#This Row],[Total Price]]-Table1[[#This Row],[Discount Amount]]</f>
        <v>7894.38</v>
      </c>
    </row>
    <row r="1061" spans="1:15" x14ac:dyDescent="0.3">
      <c r="A1061" t="s">
        <v>3208</v>
      </c>
      <c r="B1061" s="1">
        <v>45557</v>
      </c>
      <c r="C1061" t="s">
        <v>3209</v>
      </c>
      <c r="D1061" t="s">
        <v>58</v>
      </c>
      <c r="E1061">
        <v>1</v>
      </c>
      <c r="F1061">
        <v>1547</v>
      </c>
      <c r="G1061" s="9">
        <v>0.22</v>
      </c>
      <c r="H1061" t="s">
        <v>26</v>
      </c>
      <c r="I1061" t="s">
        <v>3210</v>
      </c>
      <c r="J1061" s="14" t="s">
        <v>37</v>
      </c>
      <c r="K1061">
        <v>3</v>
      </c>
      <c r="L1061" t="s">
        <v>16</v>
      </c>
      <c r="M1061">
        <f>Table1[[#This Row],[UnitPrice]]*Table1[[#This Row],[Quantity]]</f>
        <v>1547</v>
      </c>
      <c r="N1061">
        <f>Table1[[#This Row],[Total Price]]*Table1[[#This Row],[Discount]]</f>
        <v>340.34</v>
      </c>
      <c r="O1061">
        <f>Table1[[#This Row],[Total Price]]-Table1[[#This Row],[Discount Amount]]</f>
        <v>1206.6600000000001</v>
      </c>
    </row>
    <row r="1062" spans="1:15" x14ac:dyDescent="0.3">
      <c r="A1062" t="s">
        <v>3211</v>
      </c>
      <c r="B1062" s="1">
        <v>45419</v>
      </c>
      <c r="C1062" t="s">
        <v>3212</v>
      </c>
      <c r="D1062" t="s">
        <v>25</v>
      </c>
      <c r="E1062">
        <v>2</v>
      </c>
      <c r="F1062">
        <v>16420</v>
      </c>
      <c r="G1062" s="9">
        <v>0.03</v>
      </c>
      <c r="H1062" t="s">
        <v>50</v>
      </c>
      <c r="I1062" t="s">
        <v>3213</v>
      </c>
      <c r="J1062" s="13" t="s">
        <v>14</v>
      </c>
      <c r="K1062">
        <v>7</v>
      </c>
      <c r="L1062" t="s">
        <v>22</v>
      </c>
      <c r="M1062">
        <f>Table1[[#This Row],[UnitPrice]]*Table1[[#This Row],[Quantity]]</f>
        <v>32840</v>
      </c>
      <c r="N1062">
        <f>Table1[[#This Row],[Total Price]]*Table1[[#This Row],[Discount]]</f>
        <v>985.19999999999993</v>
      </c>
      <c r="O1062">
        <f>Table1[[#This Row],[Total Price]]-Table1[[#This Row],[Discount Amount]]</f>
        <v>31854.799999999999</v>
      </c>
    </row>
    <row r="1063" spans="1:15" x14ac:dyDescent="0.3">
      <c r="A1063" t="s">
        <v>3214</v>
      </c>
      <c r="B1063" s="1">
        <v>45686</v>
      </c>
      <c r="C1063" t="s">
        <v>3215</v>
      </c>
      <c r="D1063" t="s">
        <v>44</v>
      </c>
      <c r="E1063">
        <v>2</v>
      </c>
      <c r="F1063">
        <v>64273</v>
      </c>
      <c r="G1063" s="9">
        <v>0.47</v>
      </c>
      <c r="H1063" t="s">
        <v>50</v>
      </c>
      <c r="I1063" t="s">
        <v>3216</v>
      </c>
      <c r="J1063" s="14" t="s">
        <v>14</v>
      </c>
      <c r="K1063">
        <v>8</v>
      </c>
      <c r="L1063" t="s">
        <v>60</v>
      </c>
      <c r="M1063">
        <f>Table1[[#This Row],[UnitPrice]]*Table1[[#This Row],[Quantity]]</f>
        <v>128546</v>
      </c>
      <c r="N1063">
        <f>Table1[[#This Row],[Total Price]]*Table1[[#This Row],[Discount]]</f>
        <v>60416.619999999995</v>
      </c>
      <c r="O1063">
        <f>Table1[[#This Row],[Total Price]]-Table1[[#This Row],[Discount Amount]]</f>
        <v>68129.38</v>
      </c>
    </row>
    <row r="1064" spans="1:15" x14ac:dyDescent="0.3">
      <c r="A1064" t="s">
        <v>3217</v>
      </c>
      <c r="B1064" s="1">
        <v>45161</v>
      </c>
      <c r="C1064" t="s">
        <v>3218</v>
      </c>
      <c r="D1064" t="s">
        <v>31</v>
      </c>
      <c r="E1064">
        <v>1</v>
      </c>
      <c r="F1064">
        <v>21984</v>
      </c>
      <c r="G1064" s="9">
        <v>0.04</v>
      </c>
      <c r="H1064" t="s">
        <v>45</v>
      </c>
      <c r="I1064" t="s">
        <v>3219</v>
      </c>
      <c r="J1064" s="13" t="s">
        <v>73</v>
      </c>
      <c r="K1064">
        <v>5</v>
      </c>
      <c r="L1064" t="s">
        <v>33</v>
      </c>
      <c r="M1064">
        <f>Table1[[#This Row],[UnitPrice]]*Table1[[#This Row],[Quantity]]</f>
        <v>21984</v>
      </c>
      <c r="N1064">
        <f>Table1[[#This Row],[Total Price]]*Table1[[#This Row],[Discount]]</f>
        <v>879.36</v>
      </c>
      <c r="O1064">
        <f>Table1[[#This Row],[Total Price]]-Table1[[#This Row],[Discount Amount]]</f>
        <v>21104.639999999999</v>
      </c>
    </row>
    <row r="1065" spans="1:15" x14ac:dyDescent="0.3">
      <c r="A1065" t="s">
        <v>3220</v>
      </c>
      <c r="B1065" s="1">
        <v>45462</v>
      </c>
      <c r="C1065" t="s">
        <v>3221</v>
      </c>
      <c r="D1065" t="s">
        <v>58</v>
      </c>
      <c r="E1065">
        <v>2</v>
      </c>
      <c r="F1065">
        <v>2678</v>
      </c>
      <c r="G1065" s="9">
        <v>0.17</v>
      </c>
      <c r="H1065" t="s">
        <v>26</v>
      </c>
      <c r="I1065" t="s">
        <v>3222</v>
      </c>
      <c r="J1065" s="14" t="s">
        <v>14</v>
      </c>
      <c r="K1065">
        <v>5</v>
      </c>
      <c r="L1065" t="s">
        <v>22</v>
      </c>
      <c r="M1065">
        <f>Table1[[#This Row],[UnitPrice]]*Table1[[#This Row],[Quantity]]</f>
        <v>5356</v>
      </c>
      <c r="N1065">
        <f>Table1[[#This Row],[Total Price]]*Table1[[#This Row],[Discount]]</f>
        <v>910.5200000000001</v>
      </c>
      <c r="O1065">
        <f>Table1[[#This Row],[Total Price]]-Table1[[#This Row],[Discount Amount]]</f>
        <v>4445.4799999999996</v>
      </c>
    </row>
    <row r="1066" spans="1:15" x14ac:dyDescent="0.3">
      <c r="A1066" t="s">
        <v>3223</v>
      </c>
      <c r="B1066" s="1">
        <v>45700</v>
      </c>
      <c r="C1066" t="s">
        <v>3224</v>
      </c>
      <c r="D1066" t="s">
        <v>44</v>
      </c>
      <c r="E1066">
        <v>1</v>
      </c>
      <c r="F1066">
        <v>27227</v>
      </c>
      <c r="G1066" s="9">
        <v>0.3</v>
      </c>
      <c r="H1066" t="s">
        <v>50</v>
      </c>
      <c r="I1066" t="s">
        <v>3225</v>
      </c>
      <c r="J1066" s="13" t="s">
        <v>73</v>
      </c>
      <c r="K1066">
        <v>9</v>
      </c>
      <c r="L1066" t="s">
        <v>22</v>
      </c>
      <c r="M1066">
        <f>Table1[[#This Row],[UnitPrice]]*Table1[[#This Row],[Quantity]]</f>
        <v>27227</v>
      </c>
      <c r="N1066">
        <f>Table1[[#This Row],[Total Price]]*Table1[[#This Row],[Discount]]</f>
        <v>8168.0999999999995</v>
      </c>
      <c r="O1066">
        <f>Table1[[#This Row],[Total Price]]-Table1[[#This Row],[Discount Amount]]</f>
        <v>19058.900000000001</v>
      </c>
    </row>
    <row r="1067" spans="1:15" x14ac:dyDescent="0.3">
      <c r="A1067" t="s">
        <v>3226</v>
      </c>
      <c r="B1067" s="1">
        <v>45229</v>
      </c>
      <c r="C1067" t="s">
        <v>3227</v>
      </c>
      <c r="D1067" t="s">
        <v>36</v>
      </c>
      <c r="E1067">
        <v>2</v>
      </c>
      <c r="F1067">
        <v>8053</v>
      </c>
      <c r="G1067" s="9">
        <v>0.06</v>
      </c>
      <c r="H1067" t="s">
        <v>13</v>
      </c>
      <c r="I1067" t="s">
        <v>3228</v>
      </c>
      <c r="J1067" s="14" t="s">
        <v>37</v>
      </c>
      <c r="K1067">
        <v>7</v>
      </c>
      <c r="L1067" t="s">
        <v>22</v>
      </c>
      <c r="M1067">
        <f>Table1[[#This Row],[UnitPrice]]*Table1[[#This Row],[Quantity]]</f>
        <v>16106</v>
      </c>
      <c r="N1067">
        <f>Table1[[#This Row],[Total Price]]*Table1[[#This Row],[Discount]]</f>
        <v>966.36</v>
      </c>
      <c r="O1067">
        <f>Table1[[#This Row],[Total Price]]-Table1[[#This Row],[Discount Amount]]</f>
        <v>15139.64</v>
      </c>
    </row>
    <row r="1068" spans="1:15" x14ac:dyDescent="0.3">
      <c r="A1068" t="s">
        <v>3229</v>
      </c>
      <c r="B1068" s="1">
        <v>45280</v>
      </c>
      <c r="C1068" t="s">
        <v>3230</v>
      </c>
      <c r="D1068" t="s">
        <v>58</v>
      </c>
      <c r="E1068">
        <v>2</v>
      </c>
      <c r="F1068">
        <v>1835</v>
      </c>
      <c r="G1068" s="9">
        <v>0.42</v>
      </c>
      <c r="H1068" t="s">
        <v>13</v>
      </c>
      <c r="I1068" t="s">
        <v>3231</v>
      </c>
      <c r="J1068" s="13" t="s">
        <v>14</v>
      </c>
      <c r="K1068">
        <v>5</v>
      </c>
      <c r="L1068" t="s">
        <v>16</v>
      </c>
      <c r="M1068">
        <f>Table1[[#This Row],[UnitPrice]]*Table1[[#This Row],[Quantity]]</f>
        <v>3670</v>
      </c>
      <c r="N1068">
        <f>Table1[[#This Row],[Total Price]]*Table1[[#This Row],[Discount]]</f>
        <v>1541.3999999999999</v>
      </c>
      <c r="O1068">
        <f>Table1[[#This Row],[Total Price]]-Table1[[#This Row],[Discount Amount]]</f>
        <v>2128.6000000000004</v>
      </c>
    </row>
    <row r="1069" spans="1:15" x14ac:dyDescent="0.3">
      <c r="A1069" t="s">
        <v>3232</v>
      </c>
      <c r="B1069" s="1">
        <v>45083</v>
      </c>
      <c r="C1069" t="s">
        <v>3233</v>
      </c>
      <c r="D1069" t="s">
        <v>19</v>
      </c>
      <c r="E1069">
        <v>2</v>
      </c>
      <c r="F1069">
        <v>21514</v>
      </c>
      <c r="G1069" s="9">
        <v>0.1</v>
      </c>
      <c r="H1069" t="s">
        <v>20</v>
      </c>
      <c r="I1069" t="s">
        <v>3234</v>
      </c>
      <c r="J1069" s="14" t="s">
        <v>14</v>
      </c>
      <c r="K1069">
        <v>2</v>
      </c>
      <c r="L1069" t="s">
        <v>16</v>
      </c>
      <c r="M1069">
        <f>Table1[[#This Row],[UnitPrice]]*Table1[[#This Row],[Quantity]]</f>
        <v>43028</v>
      </c>
      <c r="N1069">
        <f>Table1[[#This Row],[Total Price]]*Table1[[#This Row],[Discount]]</f>
        <v>4302.8</v>
      </c>
      <c r="O1069">
        <f>Table1[[#This Row],[Total Price]]-Table1[[#This Row],[Discount Amount]]</f>
        <v>38725.199999999997</v>
      </c>
    </row>
    <row r="1070" spans="1:15" x14ac:dyDescent="0.3">
      <c r="A1070" t="s">
        <v>3235</v>
      </c>
      <c r="B1070" s="1">
        <v>45507</v>
      </c>
      <c r="C1070" t="s">
        <v>3236</v>
      </c>
      <c r="D1070" t="s">
        <v>44</v>
      </c>
      <c r="E1070">
        <v>1</v>
      </c>
      <c r="F1070">
        <v>42050</v>
      </c>
      <c r="G1070" s="9">
        <v>0.49</v>
      </c>
      <c r="H1070" t="s">
        <v>13</v>
      </c>
      <c r="I1070" t="s">
        <v>3237</v>
      </c>
      <c r="J1070" s="13" t="s">
        <v>14</v>
      </c>
      <c r="K1070">
        <v>2</v>
      </c>
      <c r="L1070" t="s">
        <v>22</v>
      </c>
      <c r="M1070">
        <f>Table1[[#This Row],[UnitPrice]]*Table1[[#This Row],[Quantity]]</f>
        <v>42050</v>
      </c>
      <c r="N1070">
        <f>Table1[[#This Row],[Total Price]]*Table1[[#This Row],[Discount]]</f>
        <v>20604.5</v>
      </c>
      <c r="O1070">
        <f>Table1[[#This Row],[Total Price]]-Table1[[#This Row],[Discount Amount]]</f>
        <v>21445.5</v>
      </c>
    </row>
    <row r="1071" spans="1:15" x14ac:dyDescent="0.3">
      <c r="A1071" t="s">
        <v>3238</v>
      </c>
      <c r="B1071" s="1">
        <v>44982</v>
      </c>
      <c r="C1071" t="s">
        <v>3239</v>
      </c>
      <c r="D1071" t="s">
        <v>12</v>
      </c>
      <c r="E1071">
        <v>1</v>
      </c>
      <c r="F1071">
        <v>8337</v>
      </c>
      <c r="G1071" s="9">
        <v>0.46</v>
      </c>
      <c r="H1071" t="s">
        <v>45</v>
      </c>
      <c r="I1071" t="s">
        <v>3240</v>
      </c>
      <c r="J1071" s="14" t="s">
        <v>37</v>
      </c>
      <c r="K1071">
        <v>3</v>
      </c>
      <c r="L1071" t="s">
        <v>33</v>
      </c>
      <c r="M1071">
        <f>Table1[[#This Row],[UnitPrice]]*Table1[[#This Row],[Quantity]]</f>
        <v>8337</v>
      </c>
      <c r="N1071">
        <f>Table1[[#This Row],[Total Price]]*Table1[[#This Row],[Discount]]</f>
        <v>3835.02</v>
      </c>
      <c r="O1071">
        <f>Table1[[#This Row],[Total Price]]-Table1[[#This Row],[Discount Amount]]</f>
        <v>4501.9799999999996</v>
      </c>
    </row>
    <row r="1072" spans="1:15" x14ac:dyDescent="0.3">
      <c r="A1072" t="s">
        <v>3241</v>
      </c>
      <c r="B1072" s="1">
        <v>45541</v>
      </c>
      <c r="C1072" t="s">
        <v>3242</v>
      </c>
      <c r="D1072" t="s">
        <v>58</v>
      </c>
      <c r="E1072">
        <v>3</v>
      </c>
      <c r="F1072">
        <v>2607</v>
      </c>
      <c r="G1072" s="9">
        <v>0.3</v>
      </c>
      <c r="H1072" t="s">
        <v>13</v>
      </c>
      <c r="I1072" t="s">
        <v>3243</v>
      </c>
      <c r="J1072" s="13" t="s">
        <v>73</v>
      </c>
      <c r="K1072">
        <v>6</v>
      </c>
      <c r="L1072" t="s">
        <v>28</v>
      </c>
      <c r="M1072">
        <f>Table1[[#This Row],[UnitPrice]]*Table1[[#This Row],[Quantity]]</f>
        <v>7821</v>
      </c>
      <c r="N1072">
        <f>Table1[[#This Row],[Total Price]]*Table1[[#This Row],[Discount]]</f>
        <v>2346.2999999999997</v>
      </c>
      <c r="O1072">
        <f>Table1[[#This Row],[Total Price]]-Table1[[#This Row],[Discount Amount]]</f>
        <v>5474.7000000000007</v>
      </c>
    </row>
    <row r="1073" spans="1:15" x14ac:dyDescent="0.3">
      <c r="A1073" t="s">
        <v>3244</v>
      </c>
      <c r="B1073" s="1">
        <v>45832</v>
      </c>
      <c r="C1073" t="s">
        <v>3245</v>
      </c>
      <c r="D1073" t="s">
        <v>19</v>
      </c>
      <c r="E1073">
        <v>3</v>
      </c>
      <c r="F1073">
        <v>48038</v>
      </c>
      <c r="G1073" s="9">
        <v>0.33</v>
      </c>
      <c r="H1073" t="s">
        <v>50</v>
      </c>
      <c r="I1073" t="s">
        <v>3246</v>
      </c>
      <c r="J1073" s="14" t="s">
        <v>14</v>
      </c>
      <c r="K1073">
        <v>2</v>
      </c>
      <c r="L1073" t="s">
        <v>60</v>
      </c>
      <c r="M1073">
        <f>Table1[[#This Row],[UnitPrice]]*Table1[[#This Row],[Quantity]]</f>
        <v>144114</v>
      </c>
      <c r="N1073">
        <f>Table1[[#This Row],[Total Price]]*Table1[[#This Row],[Discount]]</f>
        <v>47557.62</v>
      </c>
      <c r="O1073">
        <f>Table1[[#This Row],[Total Price]]-Table1[[#This Row],[Discount Amount]]</f>
        <v>96556.38</v>
      </c>
    </row>
    <row r="1074" spans="1:15" x14ac:dyDescent="0.3">
      <c r="A1074" t="s">
        <v>3247</v>
      </c>
      <c r="B1074" s="1">
        <v>44983</v>
      </c>
      <c r="C1074" t="s">
        <v>3248</v>
      </c>
      <c r="D1074" t="s">
        <v>12</v>
      </c>
      <c r="E1074">
        <v>1</v>
      </c>
      <c r="F1074">
        <v>5239</v>
      </c>
      <c r="G1074" s="9">
        <v>0.27</v>
      </c>
      <c r="H1074" t="s">
        <v>45</v>
      </c>
      <c r="I1074" t="s">
        <v>3249</v>
      </c>
      <c r="J1074" s="13" t="s">
        <v>73</v>
      </c>
      <c r="K1074">
        <v>4</v>
      </c>
      <c r="L1074" t="s">
        <v>22</v>
      </c>
      <c r="M1074">
        <f>Table1[[#This Row],[UnitPrice]]*Table1[[#This Row],[Quantity]]</f>
        <v>5239</v>
      </c>
      <c r="N1074">
        <f>Table1[[#This Row],[Total Price]]*Table1[[#This Row],[Discount]]</f>
        <v>1414.5300000000002</v>
      </c>
      <c r="O1074">
        <f>Table1[[#This Row],[Total Price]]-Table1[[#This Row],[Discount Amount]]</f>
        <v>3824.47</v>
      </c>
    </row>
    <row r="1075" spans="1:15" x14ac:dyDescent="0.3">
      <c r="A1075" t="s">
        <v>3250</v>
      </c>
      <c r="B1075" s="1">
        <v>45576</v>
      </c>
      <c r="C1075" t="s">
        <v>3251</v>
      </c>
      <c r="D1075" t="s">
        <v>25</v>
      </c>
      <c r="E1075">
        <v>3</v>
      </c>
      <c r="F1075">
        <v>13308</v>
      </c>
      <c r="G1075" s="9">
        <v>0.2</v>
      </c>
      <c r="H1075" t="s">
        <v>13</v>
      </c>
      <c r="I1075" t="s">
        <v>3252</v>
      </c>
      <c r="J1075" s="14" t="s">
        <v>14</v>
      </c>
      <c r="K1075">
        <v>4</v>
      </c>
      <c r="L1075" t="s">
        <v>33</v>
      </c>
      <c r="M1075">
        <f>Table1[[#This Row],[UnitPrice]]*Table1[[#This Row],[Quantity]]</f>
        <v>39924</v>
      </c>
      <c r="N1075">
        <f>Table1[[#This Row],[Total Price]]*Table1[[#This Row],[Discount]]</f>
        <v>7984.8</v>
      </c>
      <c r="O1075">
        <f>Table1[[#This Row],[Total Price]]-Table1[[#This Row],[Discount Amount]]</f>
        <v>31939.200000000001</v>
      </c>
    </row>
    <row r="1076" spans="1:15" x14ac:dyDescent="0.3">
      <c r="A1076" t="s">
        <v>3253</v>
      </c>
      <c r="B1076" s="1">
        <v>45422</v>
      </c>
      <c r="C1076" t="s">
        <v>3254</v>
      </c>
      <c r="D1076" t="s">
        <v>19</v>
      </c>
      <c r="E1076">
        <v>2</v>
      </c>
      <c r="F1076">
        <v>34454</v>
      </c>
      <c r="G1076" s="9">
        <v>0.18</v>
      </c>
      <c r="H1076" t="s">
        <v>20</v>
      </c>
      <c r="I1076" t="s">
        <v>3255</v>
      </c>
      <c r="J1076" s="13" t="s">
        <v>14</v>
      </c>
      <c r="K1076">
        <v>4</v>
      </c>
      <c r="L1076" t="s">
        <v>60</v>
      </c>
      <c r="M1076">
        <f>Table1[[#This Row],[UnitPrice]]*Table1[[#This Row],[Quantity]]</f>
        <v>68908</v>
      </c>
      <c r="N1076">
        <f>Table1[[#This Row],[Total Price]]*Table1[[#This Row],[Discount]]</f>
        <v>12403.439999999999</v>
      </c>
      <c r="O1076">
        <f>Table1[[#This Row],[Total Price]]-Table1[[#This Row],[Discount Amount]]</f>
        <v>56504.56</v>
      </c>
    </row>
    <row r="1077" spans="1:15" x14ac:dyDescent="0.3">
      <c r="A1077" t="s">
        <v>3256</v>
      </c>
      <c r="B1077" s="1">
        <v>45535</v>
      </c>
      <c r="C1077" t="s">
        <v>3257</v>
      </c>
      <c r="D1077" t="s">
        <v>12</v>
      </c>
      <c r="E1077">
        <v>2</v>
      </c>
      <c r="F1077">
        <v>8371</v>
      </c>
      <c r="G1077" s="9">
        <v>0.45</v>
      </c>
      <c r="H1077" t="s">
        <v>13</v>
      </c>
      <c r="I1077" t="s">
        <v>3258</v>
      </c>
      <c r="J1077" s="14" t="s">
        <v>37</v>
      </c>
      <c r="K1077">
        <v>7</v>
      </c>
      <c r="L1077" t="s">
        <v>16</v>
      </c>
      <c r="M1077">
        <f>Table1[[#This Row],[UnitPrice]]*Table1[[#This Row],[Quantity]]</f>
        <v>16742</v>
      </c>
      <c r="N1077">
        <f>Table1[[#This Row],[Total Price]]*Table1[[#This Row],[Discount]]</f>
        <v>7533.9000000000005</v>
      </c>
      <c r="O1077">
        <f>Table1[[#This Row],[Total Price]]-Table1[[#This Row],[Discount Amount]]</f>
        <v>9208.0999999999985</v>
      </c>
    </row>
    <row r="1078" spans="1:15" x14ac:dyDescent="0.3">
      <c r="A1078" t="s">
        <v>3259</v>
      </c>
      <c r="B1078" s="1">
        <v>45054</v>
      </c>
      <c r="C1078" t="s">
        <v>3260</v>
      </c>
      <c r="D1078" t="s">
        <v>44</v>
      </c>
      <c r="E1078">
        <v>1</v>
      </c>
      <c r="F1078">
        <v>67350</v>
      </c>
      <c r="G1078" s="9">
        <v>0.28999999999999998</v>
      </c>
      <c r="H1078" t="s">
        <v>50</v>
      </c>
      <c r="I1078" t="s">
        <v>3261</v>
      </c>
      <c r="J1078" s="13" t="s">
        <v>14</v>
      </c>
      <c r="K1078">
        <v>6</v>
      </c>
      <c r="L1078" t="s">
        <v>22</v>
      </c>
      <c r="M1078">
        <f>Table1[[#This Row],[UnitPrice]]*Table1[[#This Row],[Quantity]]</f>
        <v>67350</v>
      </c>
      <c r="N1078">
        <f>Table1[[#This Row],[Total Price]]*Table1[[#This Row],[Discount]]</f>
        <v>19531.5</v>
      </c>
      <c r="O1078">
        <f>Table1[[#This Row],[Total Price]]-Table1[[#This Row],[Discount Amount]]</f>
        <v>47818.5</v>
      </c>
    </row>
    <row r="1079" spans="1:15" x14ac:dyDescent="0.3">
      <c r="A1079" t="s">
        <v>3262</v>
      </c>
      <c r="B1079" s="1">
        <v>45723</v>
      </c>
      <c r="C1079" t="s">
        <v>3263</v>
      </c>
      <c r="D1079" t="s">
        <v>36</v>
      </c>
      <c r="E1079">
        <v>3</v>
      </c>
      <c r="F1079">
        <v>8960</v>
      </c>
      <c r="G1079" s="9">
        <v>0.41</v>
      </c>
      <c r="H1079" t="s">
        <v>26</v>
      </c>
      <c r="I1079" t="s">
        <v>3264</v>
      </c>
      <c r="J1079" s="14" t="s">
        <v>14</v>
      </c>
      <c r="K1079">
        <v>8</v>
      </c>
      <c r="L1079" t="s">
        <v>22</v>
      </c>
      <c r="M1079">
        <f>Table1[[#This Row],[UnitPrice]]*Table1[[#This Row],[Quantity]]</f>
        <v>26880</v>
      </c>
      <c r="N1079">
        <f>Table1[[#This Row],[Total Price]]*Table1[[#This Row],[Discount]]</f>
        <v>11020.8</v>
      </c>
      <c r="O1079">
        <f>Table1[[#This Row],[Total Price]]-Table1[[#This Row],[Discount Amount]]</f>
        <v>15859.2</v>
      </c>
    </row>
    <row r="1080" spans="1:15" x14ac:dyDescent="0.3">
      <c r="A1080" t="s">
        <v>3265</v>
      </c>
      <c r="B1080" s="1">
        <v>45003</v>
      </c>
      <c r="C1080" t="s">
        <v>3266</v>
      </c>
      <c r="D1080" t="s">
        <v>58</v>
      </c>
      <c r="E1080">
        <v>2</v>
      </c>
      <c r="F1080">
        <v>7040</v>
      </c>
      <c r="G1080" s="9">
        <v>0.26</v>
      </c>
      <c r="H1080" t="s">
        <v>20</v>
      </c>
      <c r="I1080" t="s">
        <v>3267</v>
      </c>
      <c r="J1080" s="13" t="s">
        <v>37</v>
      </c>
      <c r="K1080">
        <v>4</v>
      </c>
      <c r="L1080" t="s">
        <v>28</v>
      </c>
      <c r="M1080">
        <f>Table1[[#This Row],[UnitPrice]]*Table1[[#This Row],[Quantity]]</f>
        <v>14080</v>
      </c>
      <c r="N1080">
        <f>Table1[[#This Row],[Total Price]]*Table1[[#This Row],[Discount]]</f>
        <v>3660.8</v>
      </c>
      <c r="O1080">
        <f>Table1[[#This Row],[Total Price]]-Table1[[#This Row],[Discount Amount]]</f>
        <v>10419.200000000001</v>
      </c>
    </row>
    <row r="1081" spans="1:15" x14ac:dyDescent="0.3">
      <c r="A1081" t="s">
        <v>3268</v>
      </c>
      <c r="B1081" s="1">
        <v>45463</v>
      </c>
      <c r="C1081" t="s">
        <v>3269</v>
      </c>
      <c r="D1081" t="s">
        <v>19</v>
      </c>
      <c r="E1081">
        <v>1</v>
      </c>
      <c r="F1081">
        <v>17404</v>
      </c>
      <c r="G1081" s="9">
        <v>0.15</v>
      </c>
      <c r="H1081" t="s">
        <v>45</v>
      </c>
      <c r="I1081" t="s">
        <v>3270</v>
      </c>
      <c r="J1081" s="14" t="s">
        <v>37</v>
      </c>
      <c r="K1081">
        <v>8</v>
      </c>
      <c r="L1081" t="s">
        <v>28</v>
      </c>
      <c r="M1081">
        <f>Table1[[#This Row],[UnitPrice]]*Table1[[#This Row],[Quantity]]</f>
        <v>17404</v>
      </c>
      <c r="N1081">
        <f>Table1[[#This Row],[Total Price]]*Table1[[#This Row],[Discount]]</f>
        <v>2610.6</v>
      </c>
      <c r="O1081">
        <f>Table1[[#This Row],[Total Price]]-Table1[[#This Row],[Discount Amount]]</f>
        <v>14793.4</v>
      </c>
    </row>
    <row r="1082" spans="1:15" x14ac:dyDescent="0.3">
      <c r="A1082" t="s">
        <v>3271</v>
      </c>
      <c r="B1082" s="1">
        <v>44946</v>
      </c>
      <c r="C1082" t="s">
        <v>3272</v>
      </c>
      <c r="D1082" t="s">
        <v>44</v>
      </c>
      <c r="E1082">
        <v>2</v>
      </c>
      <c r="F1082">
        <v>40867</v>
      </c>
      <c r="G1082" s="9">
        <v>0.05</v>
      </c>
      <c r="H1082" t="s">
        <v>45</v>
      </c>
      <c r="I1082" t="s">
        <v>3273</v>
      </c>
      <c r="J1082" s="13" t="s">
        <v>37</v>
      </c>
      <c r="K1082">
        <v>7</v>
      </c>
      <c r="L1082" t="s">
        <v>22</v>
      </c>
      <c r="M1082">
        <f>Table1[[#This Row],[UnitPrice]]*Table1[[#This Row],[Quantity]]</f>
        <v>81734</v>
      </c>
      <c r="N1082">
        <f>Table1[[#This Row],[Total Price]]*Table1[[#This Row],[Discount]]</f>
        <v>4086.7000000000003</v>
      </c>
      <c r="O1082">
        <f>Table1[[#This Row],[Total Price]]-Table1[[#This Row],[Discount Amount]]</f>
        <v>77647.3</v>
      </c>
    </row>
    <row r="1083" spans="1:15" x14ac:dyDescent="0.3">
      <c r="A1083" t="s">
        <v>3274</v>
      </c>
      <c r="B1083" s="1">
        <v>45037</v>
      </c>
      <c r="C1083" t="s">
        <v>3275</v>
      </c>
      <c r="D1083" t="s">
        <v>12</v>
      </c>
      <c r="E1083">
        <v>3</v>
      </c>
      <c r="F1083">
        <v>3662</v>
      </c>
      <c r="G1083" s="9">
        <v>0.16</v>
      </c>
      <c r="H1083" t="s">
        <v>26</v>
      </c>
      <c r="I1083" t="s">
        <v>3276</v>
      </c>
      <c r="J1083" s="14" t="s">
        <v>73</v>
      </c>
      <c r="K1083">
        <v>5</v>
      </c>
      <c r="L1083" t="s">
        <v>60</v>
      </c>
      <c r="M1083">
        <f>Table1[[#This Row],[UnitPrice]]*Table1[[#This Row],[Quantity]]</f>
        <v>10986</v>
      </c>
      <c r="N1083">
        <f>Table1[[#This Row],[Total Price]]*Table1[[#This Row],[Discount]]</f>
        <v>1757.76</v>
      </c>
      <c r="O1083">
        <f>Table1[[#This Row],[Total Price]]-Table1[[#This Row],[Discount Amount]]</f>
        <v>9228.24</v>
      </c>
    </row>
    <row r="1084" spans="1:15" x14ac:dyDescent="0.3">
      <c r="A1084" t="s">
        <v>3277</v>
      </c>
      <c r="B1084" s="1">
        <v>45205</v>
      </c>
      <c r="C1084" t="s">
        <v>3278</v>
      </c>
      <c r="D1084" t="s">
        <v>31</v>
      </c>
      <c r="E1084">
        <v>3</v>
      </c>
      <c r="F1084">
        <v>24895</v>
      </c>
      <c r="G1084" s="9">
        <v>0.44</v>
      </c>
      <c r="H1084" t="s">
        <v>13</v>
      </c>
      <c r="I1084" t="s">
        <v>3279</v>
      </c>
      <c r="J1084" s="13" t="s">
        <v>73</v>
      </c>
      <c r="K1084">
        <v>5</v>
      </c>
      <c r="L1084" t="s">
        <v>28</v>
      </c>
      <c r="M1084">
        <f>Table1[[#This Row],[UnitPrice]]*Table1[[#This Row],[Quantity]]</f>
        <v>74685</v>
      </c>
      <c r="N1084">
        <f>Table1[[#This Row],[Total Price]]*Table1[[#This Row],[Discount]]</f>
        <v>32861.4</v>
      </c>
      <c r="O1084">
        <f>Table1[[#This Row],[Total Price]]-Table1[[#This Row],[Discount Amount]]</f>
        <v>41823.599999999999</v>
      </c>
    </row>
    <row r="1085" spans="1:15" x14ac:dyDescent="0.3">
      <c r="A1085" t="s">
        <v>3280</v>
      </c>
      <c r="B1085" s="1">
        <v>45482</v>
      </c>
      <c r="C1085" t="s">
        <v>3281</v>
      </c>
      <c r="D1085" t="s">
        <v>31</v>
      </c>
      <c r="E1085">
        <v>3</v>
      </c>
      <c r="F1085">
        <v>34121</v>
      </c>
      <c r="G1085" s="9">
        <v>0.36</v>
      </c>
      <c r="H1085" t="s">
        <v>26</v>
      </c>
      <c r="I1085" t="s">
        <v>3282</v>
      </c>
      <c r="J1085" s="14" t="s">
        <v>37</v>
      </c>
      <c r="K1085">
        <v>3</v>
      </c>
      <c r="L1085" t="s">
        <v>28</v>
      </c>
      <c r="M1085">
        <f>Table1[[#This Row],[UnitPrice]]*Table1[[#This Row],[Quantity]]</f>
        <v>102363</v>
      </c>
      <c r="N1085">
        <f>Table1[[#This Row],[Total Price]]*Table1[[#This Row],[Discount]]</f>
        <v>36850.68</v>
      </c>
      <c r="O1085">
        <f>Table1[[#This Row],[Total Price]]-Table1[[#This Row],[Discount Amount]]</f>
        <v>65512.32</v>
      </c>
    </row>
    <row r="1086" spans="1:15" x14ac:dyDescent="0.3">
      <c r="A1086" t="s">
        <v>3283</v>
      </c>
      <c r="B1086" s="1">
        <v>44934</v>
      </c>
      <c r="C1086" t="s">
        <v>3284</v>
      </c>
      <c r="D1086" t="s">
        <v>19</v>
      </c>
      <c r="E1086">
        <v>1</v>
      </c>
      <c r="F1086">
        <v>31151</v>
      </c>
      <c r="G1086" s="9">
        <v>0.39</v>
      </c>
      <c r="H1086" t="s">
        <v>45</v>
      </c>
      <c r="I1086" t="s">
        <v>3285</v>
      </c>
      <c r="J1086" s="13" t="s">
        <v>73</v>
      </c>
      <c r="K1086">
        <v>1</v>
      </c>
      <c r="L1086" t="s">
        <v>16</v>
      </c>
      <c r="M1086">
        <f>Table1[[#This Row],[UnitPrice]]*Table1[[#This Row],[Quantity]]</f>
        <v>31151</v>
      </c>
      <c r="N1086">
        <f>Table1[[#This Row],[Total Price]]*Table1[[#This Row],[Discount]]</f>
        <v>12148.890000000001</v>
      </c>
      <c r="O1086">
        <f>Table1[[#This Row],[Total Price]]-Table1[[#This Row],[Discount Amount]]</f>
        <v>19002.11</v>
      </c>
    </row>
    <row r="1087" spans="1:15" x14ac:dyDescent="0.3">
      <c r="A1087" t="s">
        <v>3286</v>
      </c>
      <c r="B1087" s="1">
        <v>45067</v>
      </c>
      <c r="C1087" t="s">
        <v>3287</v>
      </c>
      <c r="D1087" t="s">
        <v>36</v>
      </c>
      <c r="E1087">
        <v>1</v>
      </c>
      <c r="F1087">
        <v>5015</v>
      </c>
      <c r="G1087" s="9">
        <v>0.39</v>
      </c>
      <c r="H1087" t="s">
        <v>13</v>
      </c>
      <c r="I1087" t="s">
        <v>3288</v>
      </c>
      <c r="J1087" s="14" t="s">
        <v>14</v>
      </c>
      <c r="K1087">
        <v>7</v>
      </c>
      <c r="L1087" t="s">
        <v>16</v>
      </c>
      <c r="M1087">
        <f>Table1[[#This Row],[UnitPrice]]*Table1[[#This Row],[Quantity]]</f>
        <v>5015</v>
      </c>
      <c r="N1087">
        <f>Table1[[#This Row],[Total Price]]*Table1[[#This Row],[Discount]]</f>
        <v>1955.8500000000001</v>
      </c>
      <c r="O1087">
        <f>Table1[[#This Row],[Total Price]]-Table1[[#This Row],[Discount Amount]]</f>
        <v>3059.1499999999996</v>
      </c>
    </row>
    <row r="1088" spans="1:15" x14ac:dyDescent="0.3">
      <c r="A1088" t="s">
        <v>3289</v>
      </c>
      <c r="B1088" s="1">
        <v>45283</v>
      </c>
      <c r="C1088" t="s">
        <v>3290</v>
      </c>
      <c r="D1088" t="s">
        <v>25</v>
      </c>
      <c r="E1088">
        <v>2</v>
      </c>
      <c r="F1088">
        <v>15243</v>
      </c>
      <c r="G1088" s="9">
        <v>0.06</v>
      </c>
      <c r="H1088" t="s">
        <v>20</v>
      </c>
      <c r="I1088" t="s">
        <v>3291</v>
      </c>
      <c r="J1088" s="13" t="s">
        <v>73</v>
      </c>
      <c r="K1088">
        <v>5</v>
      </c>
      <c r="L1088" t="s">
        <v>16</v>
      </c>
      <c r="M1088">
        <f>Table1[[#This Row],[UnitPrice]]*Table1[[#This Row],[Quantity]]</f>
        <v>30486</v>
      </c>
      <c r="N1088">
        <f>Table1[[#This Row],[Total Price]]*Table1[[#This Row],[Discount]]</f>
        <v>1829.1599999999999</v>
      </c>
      <c r="O1088">
        <f>Table1[[#This Row],[Total Price]]-Table1[[#This Row],[Discount Amount]]</f>
        <v>28656.84</v>
      </c>
    </row>
    <row r="1089" spans="1:15" x14ac:dyDescent="0.3">
      <c r="A1089" t="s">
        <v>3292</v>
      </c>
      <c r="B1089" s="1">
        <v>45739</v>
      </c>
      <c r="C1089" t="s">
        <v>3293</v>
      </c>
      <c r="D1089" t="s">
        <v>44</v>
      </c>
      <c r="E1089">
        <v>1</v>
      </c>
      <c r="F1089">
        <v>59910</v>
      </c>
      <c r="G1089" s="9">
        <v>0.08</v>
      </c>
      <c r="H1089" t="s">
        <v>20</v>
      </c>
      <c r="I1089" t="s">
        <v>3294</v>
      </c>
      <c r="J1089" s="14" t="s">
        <v>14</v>
      </c>
      <c r="K1089">
        <v>8</v>
      </c>
      <c r="L1089" t="s">
        <v>16</v>
      </c>
      <c r="M1089">
        <f>Table1[[#This Row],[UnitPrice]]*Table1[[#This Row],[Quantity]]</f>
        <v>59910</v>
      </c>
      <c r="N1089">
        <f>Table1[[#This Row],[Total Price]]*Table1[[#This Row],[Discount]]</f>
        <v>4792.8</v>
      </c>
      <c r="O1089">
        <f>Table1[[#This Row],[Total Price]]-Table1[[#This Row],[Discount Amount]]</f>
        <v>55117.2</v>
      </c>
    </row>
    <row r="1090" spans="1:15" x14ac:dyDescent="0.3">
      <c r="A1090" t="s">
        <v>3295</v>
      </c>
      <c r="B1090" s="1">
        <v>45260</v>
      </c>
      <c r="C1090" t="s">
        <v>3296</v>
      </c>
      <c r="D1090" t="s">
        <v>58</v>
      </c>
      <c r="E1090">
        <v>3</v>
      </c>
      <c r="F1090">
        <v>6395</v>
      </c>
      <c r="G1090" s="9">
        <v>0.16</v>
      </c>
      <c r="H1090" t="s">
        <v>45</v>
      </c>
      <c r="I1090" t="s">
        <v>3297</v>
      </c>
      <c r="J1090" s="13" t="s">
        <v>14</v>
      </c>
      <c r="K1090">
        <v>6</v>
      </c>
      <c r="L1090" t="s">
        <v>16</v>
      </c>
      <c r="M1090">
        <f>Table1[[#This Row],[UnitPrice]]*Table1[[#This Row],[Quantity]]</f>
        <v>19185</v>
      </c>
      <c r="N1090">
        <f>Table1[[#This Row],[Total Price]]*Table1[[#This Row],[Discount]]</f>
        <v>3069.6</v>
      </c>
      <c r="O1090">
        <f>Table1[[#This Row],[Total Price]]-Table1[[#This Row],[Discount Amount]]</f>
        <v>16115.4</v>
      </c>
    </row>
    <row r="1091" spans="1:15" x14ac:dyDescent="0.3">
      <c r="A1091" t="s">
        <v>3298</v>
      </c>
      <c r="B1091" s="1">
        <v>45731</v>
      </c>
      <c r="C1091" t="s">
        <v>3299</v>
      </c>
      <c r="D1091" t="s">
        <v>25</v>
      </c>
      <c r="E1091">
        <v>2</v>
      </c>
      <c r="F1091">
        <v>14879</v>
      </c>
      <c r="G1091" s="9">
        <v>0.15</v>
      </c>
      <c r="H1091" t="s">
        <v>45</v>
      </c>
      <c r="I1091" t="s">
        <v>3300</v>
      </c>
      <c r="J1091" s="14" t="s">
        <v>14</v>
      </c>
      <c r="K1091">
        <v>2</v>
      </c>
      <c r="L1091" t="s">
        <v>16</v>
      </c>
      <c r="M1091">
        <f>Table1[[#This Row],[UnitPrice]]*Table1[[#This Row],[Quantity]]</f>
        <v>29758</v>
      </c>
      <c r="N1091">
        <f>Table1[[#This Row],[Total Price]]*Table1[[#This Row],[Discount]]</f>
        <v>4463.7</v>
      </c>
      <c r="O1091">
        <f>Table1[[#This Row],[Total Price]]-Table1[[#This Row],[Discount Amount]]</f>
        <v>25294.3</v>
      </c>
    </row>
    <row r="1092" spans="1:15" x14ac:dyDescent="0.3">
      <c r="A1092" t="s">
        <v>3301</v>
      </c>
      <c r="B1092" s="1">
        <v>44982</v>
      </c>
      <c r="C1092" t="s">
        <v>3302</v>
      </c>
      <c r="D1092" t="s">
        <v>12</v>
      </c>
      <c r="E1092">
        <v>1</v>
      </c>
      <c r="F1092">
        <v>3365</v>
      </c>
      <c r="G1092" s="9">
        <v>0.03</v>
      </c>
      <c r="H1092" t="s">
        <v>45</v>
      </c>
      <c r="I1092" t="s">
        <v>3303</v>
      </c>
      <c r="J1092" s="13" t="s">
        <v>14</v>
      </c>
      <c r="K1092">
        <v>6</v>
      </c>
      <c r="L1092" t="s">
        <v>16</v>
      </c>
      <c r="M1092">
        <f>Table1[[#This Row],[UnitPrice]]*Table1[[#This Row],[Quantity]]</f>
        <v>3365</v>
      </c>
      <c r="N1092">
        <f>Table1[[#This Row],[Total Price]]*Table1[[#This Row],[Discount]]</f>
        <v>100.95</v>
      </c>
      <c r="O1092">
        <f>Table1[[#This Row],[Total Price]]-Table1[[#This Row],[Discount Amount]]</f>
        <v>3264.05</v>
      </c>
    </row>
    <row r="1093" spans="1:15" x14ac:dyDescent="0.3">
      <c r="A1093" t="s">
        <v>3304</v>
      </c>
      <c r="B1093" s="1">
        <v>45573</v>
      </c>
      <c r="C1093" t="s">
        <v>3305</v>
      </c>
      <c r="D1093" t="s">
        <v>44</v>
      </c>
      <c r="E1093">
        <v>2</v>
      </c>
      <c r="F1093">
        <v>28784</v>
      </c>
      <c r="G1093" s="9">
        <v>0.08</v>
      </c>
      <c r="H1093" t="s">
        <v>13</v>
      </c>
      <c r="I1093" t="s">
        <v>3306</v>
      </c>
      <c r="J1093" s="14" t="s">
        <v>73</v>
      </c>
      <c r="K1093">
        <v>4</v>
      </c>
      <c r="L1093" t="s">
        <v>28</v>
      </c>
      <c r="M1093">
        <f>Table1[[#This Row],[UnitPrice]]*Table1[[#This Row],[Quantity]]</f>
        <v>57568</v>
      </c>
      <c r="N1093">
        <f>Table1[[#This Row],[Total Price]]*Table1[[#This Row],[Discount]]</f>
        <v>4605.4400000000005</v>
      </c>
      <c r="O1093">
        <f>Table1[[#This Row],[Total Price]]-Table1[[#This Row],[Discount Amount]]</f>
        <v>52962.559999999998</v>
      </c>
    </row>
    <row r="1094" spans="1:15" x14ac:dyDescent="0.3">
      <c r="A1094" t="s">
        <v>3307</v>
      </c>
      <c r="B1094" s="1">
        <v>45159</v>
      </c>
      <c r="C1094" t="s">
        <v>3308</v>
      </c>
      <c r="D1094" t="s">
        <v>44</v>
      </c>
      <c r="E1094">
        <v>1</v>
      </c>
      <c r="F1094">
        <v>44556</v>
      </c>
      <c r="G1094" s="9">
        <v>0.43</v>
      </c>
      <c r="H1094" t="s">
        <v>13</v>
      </c>
      <c r="I1094" t="s">
        <v>3309</v>
      </c>
      <c r="J1094" s="13" t="s">
        <v>37</v>
      </c>
      <c r="K1094">
        <v>6</v>
      </c>
      <c r="L1094" t="s">
        <v>28</v>
      </c>
      <c r="M1094">
        <f>Table1[[#This Row],[UnitPrice]]*Table1[[#This Row],[Quantity]]</f>
        <v>44556</v>
      </c>
      <c r="N1094">
        <f>Table1[[#This Row],[Total Price]]*Table1[[#This Row],[Discount]]</f>
        <v>19159.079999999998</v>
      </c>
      <c r="O1094">
        <f>Table1[[#This Row],[Total Price]]-Table1[[#This Row],[Discount Amount]]</f>
        <v>25396.920000000002</v>
      </c>
    </row>
    <row r="1095" spans="1:15" x14ac:dyDescent="0.3">
      <c r="A1095" t="s">
        <v>3310</v>
      </c>
      <c r="B1095" s="1">
        <v>45086</v>
      </c>
      <c r="C1095" t="s">
        <v>3311</v>
      </c>
      <c r="D1095" t="s">
        <v>19</v>
      </c>
      <c r="E1095">
        <v>1</v>
      </c>
      <c r="F1095">
        <v>24051</v>
      </c>
      <c r="G1095" s="9">
        <v>0.28999999999999998</v>
      </c>
      <c r="H1095" t="s">
        <v>45</v>
      </c>
      <c r="I1095" t="s">
        <v>3312</v>
      </c>
      <c r="J1095" s="14" t="s">
        <v>37</v>
      </c>
      <c r="K1095">
        <v>9</v>
      </c>
      <c r="L1095" t="s">
        <v>16</v>
      </c>
      <c r="M1095">
        <f>Table1[[#This Row],[UnitPrice]]*Table1[[#This Row],[Quantity]]</f>
        <v>24051</v>
      </c>
      <c r="N1095">
        <f>Table1[[#This Row],[Total Price]]*Table1[[#This Row],[Discount]]</f>
        <v>6974.79</v>
      </c>
      <c r="O1095">
        <f>Table1[[#This Row],[Total Price]]-Table1[[#This Row],[Discount Amount]]</f>
        <v>17076.21</v>
      </c>
    </row>
    <row r="1096" spans="1:15" x14ac:dyDescent="0.3">
      <c r="A1096" t="s">
        <v>3313</v>
      </c>
      <c r="B1096" s="1">
        <v>45105</v>
      </c>
      <c r="C1096" t="s">
        <v>3314</v>
      </c>
      <c r="D1096" t="s">
        <v>36</v>
      </c>
      <c r="E1096">
        <v>3</v>
      </c>
      <c r="F1096">
        <v>7904</v>
      </c>
      <c r="G1096" s="9">
        <v>0.17</v>
      </c>
      <c r="H1096" t="s">
        <v>26</v>
      </c>
      <c r="I1096" t="s">
        <v>3315</v>
      </c>
      <c r="J1096" s="13" t="s">
        <v>14</v>
      </c>
      <c r="K1096">
        <v>6</v>
      </c>
      <c r="L1096" t="s">
        <v>16</v>
      </c>
      <c r="M1096">
        <f>Table1[[#This Row],[UnitPrice]]*Table1[[#This Row],[Quantity]]</f>
        <v>23712</v>
      </c>
      <c r="N1096">
        <f>Table1[[#This Row],[Total Price]]*Table1[[#This Row],[Discount]]</f>
        <v>4031.0400000000004</v>
      </c>
      <c r="O1096">
        <f>Table1[[#This Row],[Total Price]]-Table1[[#This Row],[Discount Amount]]</f>
        <v>19680.96</v>
      </c>
    </row>
    <row r="1097" spans="1:15" x14ac:dyDescent="0.3">
      <c r="A1097" t="s">
        <v>3316</v>
      </c>
      <c r="B1097" s="1">
        <v>45405</v>
      </c>
      <c r="C1097" t="s">
        <v>3317</v>
      </c>
      <c r="D1097" t="s">
        <v>19</v>
      </c>
      <c r="E1097">
        <v>3</v>
      </c>
      <c r="F1097">
        <v>18129</v>
      </c>
      <c r="G1097" s="9">
        <v>0.26</v>
      </c>
      <c r="H1097" t="s">
        <v>20</v>
      </c>
      <c r="I1097" t="s">
        <v>3318</v>
      </c>
      <c r="J1097" s="14" t="s">
        <v>37</v>
      </c>
      <c r="K1097">
        <v>2</v>
      </c>
      <c r="L1097" t="s">
        <v>28</v>
      </c>
      <c r="M1097">
        <f>Table1[[#This Row],[UnitPrice]]*Table1[[#This Row],[Quantity]]</f>
        <v>54387</v>
      </c>
      <c r="N1097">
        <f>Table1[[#This Row],[Total Price]]*Table1[[#This Row],[Discount]]</f>
        <v>14140.62</v>
      </c>
      <c r="O1097">
        <f>Table1[[#This Row],[Total Price]]-Table1[[#This Row],[Discount Amount]]</f>
        <v>40246.379999999997</v>
      </c>
    </row>
    <row r="1098" spans="1:15" x14ac:dyDescent="0.3">
      <c r="A1098" t="s">
        <v>3319</v>
      </c>
      <c r="B1098" s="1">
        <v>45780</v>
      </c>
      <c r="C1098" t="s">
        <v>3320</v>
      </c>
      <c r="D1098" t="s">
        <v>25</v>
      </c>
      <c r="E1098">
        <v>1</v>
      </c>
      <c r="F1098">
        <v>2904</v>
      </c>
      <c r="G1098" s="9">
        <v>0.13</v>
      </c>
      <c r="H1098" t="s">
        <v>13</v>
      </c>
      <c r="I1098" t="s">
        <v>3321</v>
      </c>
      <c r="J1098" s="13" t="s">
        <v>37</v>
      </c>
      <c r="K1098">
        <v>2</v>
      </c>
      <c r="L1098" t="s">
        <v>33</v>
      </c>
      <c r="M1098">
        <f>Table1[[#This Row],[UnitPrice]]*Table1[[#This Row],[Quantity]]</f>
        <v>2904</v>
      </c>
      <c r="N1098">
        <f>Table1[[#This Row],[Total Price]]*Table1[[#This Row],[Discount]]</f>
        <v>377.52000000000004</v>
      </c>
      <c r="O1098">
        <f>Table1[[#This Row],[Total Price]]-Table1[[#This Row],[Discount Amount]]</f>
        <v>2526.48</v>
      </c>
    </row>
    <row r="1099" spans="1:15" x14ac:dyDescent="0.3">
      <c r="A1099" t="s">
        <v>3322</v>
      </c>
      <c r="B1099" s="1">
        <v>45652</v>
      </c>
      <c r="C1099" t="s">
        <v>3323</v>
      </c>
      <c r="D1099" t="s">
        <v>12</v>
      </c>
      <c r="E1099">
        <v>2</v>
      </c>
      <c r="F1099">
        <v>1863</v>
      </c>
      <c r="G1099" s="9">
        <v>0.28999999999999998</v>
      </c>
      <c r="H1099" t="s">
        <v>45</v>
      </c>
      <c r="I1099" t="s">
        <v>3324</v>
      </c>
      <c r="J1099" s="14" t="s">
        <v>14</v>
      </c>
      <c r="K1099">
        <v>7</v>
      </c>
      <c r="L1099" t="s">
        <v>60</v>
      </c>
      <c r="M1099">
        <f>Table1[[#This Row],[UnitPrice]]*Table1[[#This Row],[Quantity]]</f>
        <v>3726</v>
      </c>
      <c r="N1099">
        <f>Table1[[#This Row],[Total Price]]*Table1[[#This Row],[Discount]]</f>
        <v>1080.54</v>
      </c>
      <c r="O1099">
        <f>Table1[[#This Row],[Total Price]]-Table1[[#This Row],[Discount Amount]]</f>
        <v>2645.46</v>
      </c>
    </row>
    <row r="1100" spans="1:15" x14ac:dyDescent="0.3">
      <c r="A1100" t="s">
        <v>3325</v>
      </c>
      <c r="B1100" s="1">
        <v>45094</v>
      </c>
      <c r="C1100" t="s">
        <v>3326</v>
      </c>
      <c r="D1100" t="s">
        <v>12</v>
      </c>
      <c r="E1100">
        <v>2</v>
      </c>
      <c r="F1100">
        <v>6793</v>
      </c>
      <c r="G1100" s="9">
        <v>0.04</v>
      </c>
      <c r="H1100" t="s">
        <v>26</v>
      </c>
      <c r="I1100" t="s">
        <v>3327</v>
      </c>
      <c r="J1100" s="13" t="s">
        <v>37</v>
      </c>
      <c r="K1100">
        <v>7</v>
      </c>
      <c r="L1100" t="s">
        <v>28</v>
      </c>
      <c r="M1100">
        <f>Table1[[#This Row],[UnitPrice]]*Table1[[#This Row],[Quantity]]</f>
        <v>13586</v>
      </c>
      <c r="N1100">
        <f>Table1[[#This Row],[Total Price]]*Table1[[#This Row],[Discount]]</f>
        <v>543.44000000000005</v>
      </c>
      <c r="O1100">
        <f>Table1[[#This Row],[Total Price]]-Table1[[#This Row],[Discount Amount]]</f>
        <v>13042.56</v>
      </c>
    </row>
    <row r="1101" spans="1:15" x14ac:dyDescent="0.3">
      <c r="A1101" t="s">
        <v>3328</v>
      </c>
      <c r="B1101" s="1">
        <v>45554</v>
      </c>
      <c r="C1101" t="s">
        <v>3329</v>
      </c>
      <c r="D1101" t="s">
        <v>44</v>
      </c>
      <c r="E1101">
        <v>3</v>
      </c>
      <c r="F1101">
        <v>52855</v>
      </c>
      <c r="G1101" s="9">
        <v>0.45</v>
      </c>
      <c r="H1101" t="s">
        <v>50</v>
      </c>
      <c r="I1101" t="s">
        <v>3330</v>
      </c>
      <c r="J1101" s="14" t="s">
        <v>73</v>
      </c>
      <c r="K1101">
        <v>3</v>
      </c>
      <c r="L1101" t="s">
        <v>28</v>
      </c>
      <c r="M1101">
        <f>Table1[[#This Row],[UnitPrice]]*Table1[[#This Row],[Quantity]]</f>
        <v>158565</v>
      </c>
      <c r="N1101">
        <f>Table1[[#This Row],[Total Price]]*Table1[[#This Row],[Discount]]</f>
        <v>71354.25</v>
      </c>
      <c r="O1101">
        <f>Table1[[#This Row],[Total Price]]-Table1[[#This Row],[Discount Amount]]</f>
        <v>87210.75</v>
      </c>
    </row>
    <row r="1102" spans="1:15" x14ac:dyDescent="0.3">
      <c r="A1102" t="s">
        <v>3331</v>
      </c>
      <c r="B1102" s="1">
        <v>45155</v>
      </c>
      <c r="C1102" t="s">
        <v>3332</v>
      </c>
      <c r="D1102" t="s">
        <v>44</v>
      </c>
      <c r="E1102">
        <v>1</v>
      </c>
      <c r="F1102">
        <v>56520</v>
      </c>
      <c r="G1102" s="9">
        <v>0.12</v>
      </c>
      <c r="H1102" t="s">
        <v>13</v>
      </c>
      <c r="I1102" t="s">
        <v>3333</v>
      </c>
      <c r="J1102" s="13" t="s">
        <v>37</v>
      </c>
      <c r="K1102">
        <v>6</v>
      </c>
      <c r="L1102" t="s">
        <v>16</v>
      </c>
      <c r="M1102">
        <f>Table1[[#This Row],[UnitPrice]]*Table1[[#This Row],[Quantity]]</f>
        <v>56520</v>
      </c>
      <c r="N1102">
        <f>Table1[[#This Row],[Total Price]]*Table1[[#This Row],[Discount]]</f>
        <v>6782.4</v>
      </c>
      <c r="O1102">
        <f>Table1[[#This Row],[Total Price]]-Table1[[#This Row],[Discount Amount]]</f>
        <v>49737.599999999999</v>
      </c>
    </row>
    <row r="1103" spans="1:15" x14ac:dyDescent="0.3">
      <c r="A1103" t="s">
        <v>3334</v>
      </c>
      <c r="B1103" s="1">
        <v>45816</v>
      </c>
      <c r="C1103" t="s">
        <v>3335</v>
      </c>
      <c r="D1103" t="s">
        <v>12</v>
      </c>
      <c r="E1103">
        <v>3</v>
      </c>
      <c r="F1103">
        <v>9448</v>
      </c>
      <c r="G1103" s="9">
        <v>0.41</v>
      </c>
      <c r="H1103" t="s">
        <v>50</v>
      </c>
      <c r="I1103" t="s">
        <v>3336</v>
      </c>
      <c r="J1103" s="14" t="s">
        <v>73</v>
      </c>
      <c r="K1103">
        <v>4</v>
      </c>
      <c r="L1103" t="s">
        <v>28</v>
      </c>
      <c r="M1103">
        <f>Table1[[#This Row],[UnitPrice]]*Table1[[#This Row],[Quantity]]</f>
        <v>28344</v>
      </c>
      <c r="N1103">
        <f>Table1[[#This Row],[Total Price]]*Table1[[#This Row],[Discount]]</f>
        <v>11621.039999999999</v>
      </c>
      <c r="O1103">
        <f>Table1[[#This Row],[Total Price]]-Table1[[#This Row],[Discount Amount]]</f>
        <v>16722.96</v>
      </c>
    </row>
    <row r="1104" spans="1:15" x14ac:dyDescent="0.3">
      <c r="A1104" t="s">
        <v>3337</v>
      </c>
      <c r="B1104" s="1">
        <v>45446</v>
      </c>
      <c r="C1104" t="s">
        <v>80</v>
      </c>
      <c r="D1104" t="s">
        <v>31</v>
      </c>
      <c r="E1104">
        <v>1</v>
      </c>
      <c r="F1104">
        <v>15517</v>
      </c>
      <c r="G1104" s="9">
        <v>0.33</v>
      </c>
      <c r="H1104" t="s">
        <v>13</v>
      </c>
      <c r="I1104" t="s">
        <v>3338</v>
      </c>
      <c r="J1104" s="13" t="s">
        <v>14</v>
      </c>
      <c r="K1104">
        <v>8</v>
      </c>
      <c r="L1104" t="s">
        <v>16</v>
      </c>
      <c r="M1104">
        <f>Table1[[#This Row],[UnitPrice]]*Table1[[#This Row],[Quantity]]</f>
        <v>15517</v>
      </c>
      <c r="N1104">
        <f>Table1[[#This Row],[Total Price]]*Table1[[#This Row],[Discount]]</f>
        <v>5120.6100000000006</v>
      </c>
      <c r="O1104">
        <f>Table1[[#This Row],[Total Price]]-Table1[[#This Row],[Discount Amount]]</f>
        <v>10396.39</v>
      </c>
    </row>
    <row r="1105" spans="1:15" x14ac:dyDescent="0.3">
      <c r="A1105" t="s">
        <v>3339</v>
      </c>
      <c r="B1105" s="1">
        <v>45040</v>
      </c>
      <c r="C1105" t="s">
        <v>3340</v>
      </c>
      <c r="D1105" t="s">
        <v>44</v>
      </c>
      <c r="E1105">
        <v>3</v>
      </c>
      <c r="F1105">
        <v>31820</v>
      </c>
      <c r="G1105" s="9">
        <v>0.26</v>
      </c>
      <c r="H1105" t="s">
        <v>20</v>
      </c>
      <c r="I1105" t="s">
        <v>3341</v>
      </c>
      <c r="J1105" s="14" t="s">
        <v>37</v>
      </c>
      <c r="K1105">
        <v>5</v>
      </c>
      <c r="L1105" t="s">
        <v>60</v>
      </c>
      <c r="M1105">
        <f>Table1[[#This Row],[UnitPrice]]*Table1[[#This Row],[Quantity]]</f>
        <v>95460</v>
      </c>
      <c r="N1105">
        <f>Table1[[#This Row],[Total Price]]*Table1[[#This Row],[Discount]]</f>
        <v>24819.600000000002</v>
      </c>
      <c r="O1105">
        <f>Table1[[#This Row],[Total Price]]-Table1[[#This Row],[Discount Amount]]</f>
        <v>70640.399999999994</v>
      </c>
    </row>
    <row r="1106" spans="1:15" x14ac:dyDescent="0.3">
      <c r="A1106" t="s">
        <v>3342</v>
      </c>
      <c r="B1106" s="1">
        <v>45498</v>
      </c>
      <c r="C1106" t="s">
        <v>3343</v>
      </c>
      <c r="D1106" t="s">
        <v>25</v>
      </c>
      <c r="E1106">
        <v>1</v>
      </c>
      <c r="F1106">
        <v>19848</v>
      </c>
      <c r="G1106" s="9">
        <v>0.46</v>
      </c>
      <c r="H1106" t="s">
        <v>20</v>
      </c>
      <c r="I1106" t="s">
        <v>3344</v>
      </c>
      <c r="J1106" s="13" t="s">
        <v>14</v>
      </c>
      <c r="K1106">
        <v>8</v>
      </c>
      <c r="L1106" t="s">
        <v>16</v>
      </c>
      <c r="M1106">
        <f>Table1[[#This Row],[UnitPrice]]*Table1[[#This Row],[Quantity]]</f>
        <v>19848</v>
      </c>
      <c r="N1106">
        <f>Table1[[#This Row],[Total Price]]*Table1[[#This Row],[Discount]]</f>
        <v>9130.08</v>
      </c>
      <c r="O1106">
        <f>Table1[[#This Row],[Total Price]]-Table1[[#This Row],[Discount Amount]]</f>
        <v>10717.92</v>
      </c>
    </row>
    <row r="1107" spans="1:15" x14ac:dyDescent="0.3">
      <c r="A1107" t="s">
        <v>3345</v>
      </c>
      <c r="B1107" s="1">
        <v>45299</v>
      </c>
      <c r="C1107" t="s">
        <v>3346</v>
      </c>
      <c r="D1107" t="s">
        <v>25</v>
      </c>
      <c r="E1107">
        <v>3</v>
      </c>
      <c r="F1107">
        <v>12051</v>
      </c>
      <c r="G1107" s="9">
        <v>0.08</v>
      </c>
      <c r="H1107" t="s">
        <v>45</v>
      </c>
      <c r="I1107" t="s">
        <v>3347</v>
      </c>
      <c r="J1107" s="14" t="s">
        <v>73</v>
      </c>
      <c r="K1107">
        <v>3</v>
      </c>
      <c r="L1107" t="s">
        <v>60</v>
      </c>
      <c r="M1107">
        <f>Table1[[#This Row],[UnitPrice]]*Table1[[#This Row],[Quantity]]</f>
        <v>36153</v>
      </c>
      <c r="N1107">
        <f>Table1[[#This Row],[Total Price]]*Table1[[#This Row],[Discount]]</f>
        <v>2892.2400000000002</v>
      </c>
      <c r="O1107">
        <f>Table1[[#This Row],[Total Price]]-Table1[[#This Row],[Discount Amount]]</f>
        <v>33260.76</v>
      </c>
    </row>
    <row r="1108" spans="1:15" x14ac:dyDescent="0.3">
      <c r="A1108" t="s">
        <v>3348</v>
      </c>
      <c r="B1108" s="1">
        <v>44997</v>
      </c>
      <c r="C1108" t="s">
        <v>3349</v>
      </c>
      <c r="D1108" t="s">
        <v>31</v>
      </c>
      <c r="E1108">
        <v>3</v>
      </c>
      <c r="F1108">
        <v>28853</v>
      </c>
      <c r="G1108" s="9">
        <v>0.06</v>
      </c>
      <c r="H1108" t="s">
        <v>50</v>
      </c>
      <c r="I1108" t="s">
        <v>3350</v>
      </c>
      <c r="J1108" s="13" t="s">
        <v>37</v>
      </c>
      <c r="K1108">
        <v>6</v>
      </c>
      <c r="L1108" t="s">
        <v>33</v>
      </c>
      <c r="M1108">
        <f>Table1[[#This Row],[UnitPrice]]*Table1[[#This Row],[Quantity]]</f>
        <v>86559</v>
      </c>
      <c r="N1108">
        <f>Table1[[#This Row],[Total Price]]*Table1[[#This Row],[Discount]]</f>
        <v>5193.54</v>
      </c>
      <c r="O1108">
        <f>Table1[[#This Row],[Total Price]]-Table1[[#This Row],[Discount Amount]]</f>
        <v>81365.460000000006</v>
      </c>
    </row>
    <row r="1109" spans="1:15" x14ac:dyDescent="0.3">
      <c r="A1109" t="s">
        <v>3351</v>
      </c>
      <c r="B1109" s="1">
        <v>45838</v>
      </c>
      <c r="C1109" t="s">
        <v>3352</v>
      </c>
      <c r="D1109" t="s">
        <v>25</v>
      </c>
      <c r="E1109">
        <v>2</v>
      </c>
      <c r="F1109">
        <v>9673</v>
      </c>
      <c r="G1109" s="9">
        <v>0.16</v>
      </c>
      <c r="H1109" t="s">
        <v>20</v>
      </c>
      <c r="I1109" t="s">
        <v>3353</v>
      </c>
      <c r="J1109" s="14" t="s">
        <v>73</v>
      </c>
      <c r="K1109">
        <v>4</v>
      </c>
      <c r="L1109" t="s">
        <v>60</v>
      </c>
      <c r="M1109">
        <f>Table1[[#This Row],[UnitPrice]]*Table1[[#This Row],[Quantity]]</f>
        <v>19346</v>
      </c>
      <c r="N1109">
        <f>Table1[[#This Row],[Total Price]]*Table1[[#This Row],[Discount]]</f>
        <v>3095.36</v>
      </c>
      <c r="O1109">
        <f>Table1[[#This Row],[Total Price]]-Table1[[#This Row],[Discount Amount]]</f>
        <v>16250.64</v>
      </c>
    </row>
    <row r="1110" spans="1:15" x14ac:dyDescent="0.3">
      <c r="A1110" t="s">
        <v>3354</v>
      </c>
      <c r="B1110" s="1">
        <v>45005</v>
      </c>
      <c r="C1110" t="s">
        <v>3355</v>
      </c>
      <c r="D1110" t="s">
        <v>44</v>
      </c>
      <c r="E1110">
        <v>2</v>
      </c>
      <c r="F1110">
        <v>49414</v>
      </c>
      <c r="G1110" s="9">
        <v>0.42</v>
      </c>
      <c r="H1110" t="s">
        <v>20</v>
      </c>
      <c r="I1110" t="s">
        <v>3356</v>
      </c>
      <c r="J1110" s="13" t="s">
        <v>37</v>
      </c>
      <c r="K1110">
        <v>5</v>
      </c>
      <c r="L1110" t="s">
        <v>16</v>
      </c>
      <c r="M1110">
        <f>Table1[[#This Row],[UnitPrice]]*Table1[[#This Row],[Quantity]]</f>
        <v>98828</v>
      </c>
      <c r="N1110">
        <f>Table1[[#This Row],[Total Price]]*Table1[[#This Row],[Discount]]</f>
        <v>41507.760000000002</v>
      </c>
      <c r="O1110">
        <f>Table1[[#This Row],[Total Price]]-Table1[[#This Row],[Discount Amount]]</f>
        <v>57320.24</v>
      </c>
    </row>
    <row r="1111" spans="1:15" x14ac:dyDescent="0.3">
      <c r="A1111" t="s">
        <v>3357</v>
      </c>
      <c r="B1111" s="1">
        <v>45390</v>
      </c>
      <c r="C1111" t="s">
        <v>3358</v>
      </c>
      <c r="D1111" t="s">
        <v>36</v>
      </c>
      <c r="E1111">
        <v>1</v>
      </c>
      <c r="F1111">
        <v>9615</v>
      </c>
      <c r="G1111" s="9">
        <v>0.02</v>
      </c>
      <c r="H1111" t="s">
        <v>45</v>
      </c>
      <c r="I1111" t="s">
        <v>3359</v>
      </c>
      <c r="J1111" s="14" t="s">
        <v>14</v>
      </c>
      <c r="K1111">
        <v>7</v>
      </c>
      <c r="L1111" t="s">
        <v>16</v>
      </c>
      <c r="M1111">
        <f>Table1[[#This Row],[UnitPrice]]*Table1[[#This Row],[Quantity]]</f>
        <v>9615</v>
      </c>
      <c r="N1111">
        <f>Table1[[#This Row],[Total Price]]*Table1[[#This Row],[Discount]]</f>
        <v>192.3</v>
      </c>
      <c r="O1111">
        <f>Table1[[#This Row],[Total Price]]-Table1[[#This Row],[Discount Amount]]</f>
        <v>9422.7000000000007</v>
      </c>
    </row>
    <row r="1112" spans="1:15" x14ac:dyDescent="0.3">
      <c r="A1112" t="s">
        <v>3360</v>
      </c>
      <c r="B1112" s="1">
        <v>45347</v>
      </c>
      <c r="C1112" t="s">
        <v>3361</v>
      </c>
      <c r="D1112" t="s">
        <v>31</v>
      </c>
      <c r="E1112">
        <v>1</v>
      </c>
      <c r="F1112">
        <v>18043</v>
      </c>
      <c r="G1112" s="9">
        <v>0.12</v>
      </c>
      <c r="H1112" t="s">
        <v>26</v>
      </c>
      <c r="I1112" t="s">
        <v>3362</v>
      </c>
      <c r="J1112" s="13" t="s">
        <v>14</v>
      </c>
      <c r="K1112">
        <v>3</v>
      </c>
      <c r="L1112" t="s">
        <v>28</v>
      </c>
      <c r="M1112">
        <f>Table1[[#This Row],[UnitPrice]]*Table1[[#This Row],[Quantity]]</f>
        <v>18043</v>
      </c>
      <c r="N1112">
        <f>Table1[[#This Row],[Total Price]]*Table1[[#This Row],[Discount]]</f>
        <v>2165.16</v>
      </c>
      <c r="O1112">
        <f>Table1[[#This Row],[Total Price]]-Table1[[#This Row],[Discount Amount]]</f>
        <v>15877.84</v>
      </c>
    </row>
    <row r="1113" spans="1:15" x14ac:dyDescent="0.3">
      <c r="A1113" t="s">
        <v>3363</v>
      </c>
      <c r="B1113" s="1">
        <v>45052</v>
      </c>
      <c r="C1113" t="s">
        <v>3364</v>
      </c>
      <c r="D1113" t="s">
        <v>12</v>
      </c>
      <c r="E1113">
        <v>3</v>
      </c>
      <c r="F1113">
        <v>5019</v>
      </c>
      <c r="G1113" s="9">
        <v>0.21</v>
      </c>
      <c r="H1113" t="s">
        <v>20</v>
      </c>
      <c r="I1113" t="s">
        <v>3365</v>
      </c>
      <c r="J1113" s="14" t="s">
        <v>73</v>
      </c>
      <c r="K1113">
        <v>9</v>
      </c>
      <c r="L1113" t="s">
        <v>16</v>
      </c>
      <c r="M1113">
        <f>Table1[[#This Row],[UnitPrice]]*Table1[[#This Row],[Quantity]]</f>
        <v>15057</v>
      </c>
      <c r="N1113">
        <f>Table1[[#This Row],[Total Price]]*Table1[[#This Row],[Discount]]</f>
        <v>3161.97</v>
      </c>
      <c r="O1113">
        <f>Table1[[#This Row],[Total Price]]-Table1[[#This Row],[Discount Amount]]</f>
        <v>11895.03</v>
      </c>
    </row>
    <row r="1114" spans="1:15" x14ac:dyDescent="0.3">
      <c r="A1114" t="s">
        <v>3366</v>
      </c>
      <c r="B1114" s="1">
        <v>45212</v>
      </c>
      <c r="C1114" t="s">
        <v>3367</v>
      </c>
      <c r="D1114" t="s">
        <v>58</v>
      </c>
      <c r="E1114">
        <v>2</v>
      </c>
      <c r="F1114">
        <v>8754</v>
      </c>
      <c r="G1114" s="9">
        <v>0.36</v>
      </c>
      <c r="H1114" t="s">
        <v>20</v>
      </c>
      <c r="I1114" t="s">
        <v>3368</v>
      </c>
      <c r="J1114" s="13" t="s">
        <v>37</v>
      </c>
      <c r="K1114">
        <v>1</v>
      </c>
      <c r="L1114" t="s">
        <v>16</v>
      </c>
      <c r="M1114">
        <f>Table1[[#This Row],[UnitPrice]]*Table1[[#This Row],[Quantity]]</f>
        <v>17508</v>
      </c>
      <c r="N1114">
        <f>Table1[[#This Row],[Total Price]]*Table1[[#This Row],[Discount]]</f>
        <v>6302.88</v>
      </c>
      <c r="O1114">
        <f>Table1[[#This Row],[Total Price]]-Table1[[#This Row],[Discount Amount]]</f>
        <v>11205.119999999999</v>
      </c>
    </row>
    <row r="1115" spans="1:15" x14ac:dyDescent="0.3">
      <c r="A1115" t="s">
        <v>3369</v>
      </c>
      <c r="B1115" s="1">
        <v>45004</v>
      </c>
      <c r="C1115" t="s">
        <v>3370</v>
      </c>
      <c r="D1115" t="s">
        <v>58</v>
      </c>
      <c r="E1115">
        <v>1</v>
      </c>
      <c r="F1115">
        <v>8326</v>
      </c>
      <c r="G1115" s="9">
        <v>0.15</v>
      </c>
      <c r="H1115" t="s">
        <v>50</v>
      </c>
      <c r="I1115" t="s">
        <v>3371</v>
      </c>
      <c r="J1115" s="14" t="s">
        <v>37</v>
      </c>
      <c r="K1115">
        <v>8</v>
      </c>
      <c r="L1115" t="s">
        <v>60</v>
      </c>
      <c r="M1115">
        <f>Table1[[#This Row],[UnitPrice]]*Table1[[#This Row],[Quantity]]</f>
        <v>8326</v>
      </c>
      <c r="N1115">
        <f>Table1[[#This Row],[Total Price]]*Table1[[#This Row],[Discount]]</f>
        <v>1248.8999999999999</v>
      </c>
      <c r="O1115">
        <f>Table1[[#This Row],[Total Price]]-Table1[[#This Row],[Discount Amount]]</f>
        <v>7077.1</v>
      </c>
    </row>
    <row r="1116" spans="1:15" x14ac:dyDescent="0.3">
      <c r="A1116" t="s">
        <v>3372</v>
      </c>
      <c r="B1116" s="1">
        <v>45001</v>
      </c>
      <c r="C1116" t="s">
        <v>3373</v>
      </c>
      <c r="D1116" t="s">
        <v>25</v>
      </c>
      <c r="E1116">
        <v>3</v>
      </c>
      <c r="F1116">
        <v>18556</v>
      </c>
      <c r="G1116" s="9">
        <v>0.22</v>
      </c>
      <c r="H1116" t="s">
        <v>45</v>
      </c>
      <c r="I1116" t="s">
        <v>3374</v>
      </c>
      <c r="J1116" s="13" t="s">
        <v>14</v>
      </c>
      <c r="K1116">
        <v>3</v>
      </c>
      <c r="L1116" t="s">
        <v>60</v>
      </c>
      <c r="M1116">
        <f>Table1[[#This Row],[UnitPrice]]*Table1[[#This Row],[Quantity]]</f>
        <v>55668</v>
      </c>
      <c r="N1116">
        <f>Table1[[#This Row],[Total Price]]*Table1[[#This Row],[Discount]]</f>
        <v>12246.960000000001</v>
      </c>
      <c r="O1116">
        <f>Table1[[#This Row],[Total Price]]-Table1[[#This Row],[Discount Amount]]</f>
        <v>43421.04</v>
      </c>
    </row>
    <row r="1117" spans="1:15" x14ac:dyDescent="0.3">
      <c r="A1117" t="s">
        <v>3375</v>
      </c>
      <c r="B1117" s="1">
        <v>45828</v>
      </c>
      <c r="C1117" t="s">
        <v>3376</v>
      </c>
      <c r="D1117" t="s">
        <v>44</v>
      </c>
      <c r="E1117">
        <v>3</v>
      </c>
      <c r="F1117">
        <v>39724</v>
      </c>
      <c r="G1117" s="9">
        <v>0.17</v>
      </c>
      <c r="H1117" t="s">
        <v>20</v>
      </c>
      <c r="I1117" t="s">
        <v>3377</v>
      </c>
      <c r="J1117" s="14" t="s">
        <v>73</v>
      </c>
      <c r="K1117">
        <v>3</v>
      </c>
      <c r="L1117" t="s">
        <v>60</v>
      </c>
      <c r="M1117">
        <f>Table1[[#This Row],[UnitPrice]]*Table1[[#This Row],[Quantity]]</f>
        <v>119172</v>
      </c>
      <c r="N1117">
        <f>Table1[[#This Row],[Total Price]]*Table1[[#This Row],[Discount]]</f>
        <v>20259.240000000002</v>
      </c>
      <c r="O1117">
        <f>Table1[[#This Row],[Total Price]]-Table1[[#This Row],[Discount Amount]]</f>
        <v>98912.76</v>
      </c>
    </row>
    <row r="1118" spans="1:15" x14ac:dyDescent="0.3">
      <c r="A1118" t="s">
        <v>3378</v>
      </c>
      <c r="B1118" s="1">
        <v>45213</v>
      </c>
      <c r="C1118" t="s">
        <v>3379</v>
      </c>
      <c r="D1118" t="s">
        <v>36</v>
      </c>
      <c r="E1118">
        <v>3</v>
      </c>
      <c r="F1118">
        <v>6581</v>
      </c>
      <c r="G1118" s="9">
        <v>0.05</v>
      </c>
      <c r="H1118" t="s">
        <v>26</v>
      </c>
      <c r="I1118" t="s">
        <v>3380</v>
      </c>
      <c r="J1118" s="13" t="s">
        <v>37</v>
      </c>
      <c r="K1118">
        <v>7</v>
      </c>
      <c r="L1118" t="s">
        <v>33</v>
      </c>
      <c r="M1118">
        <f>Table1[[#This Row],[UnitPrice]]*Table1[[#This Row],[Quantity]]</f>
        <v>19743</v>
      </c>
      <c r="N1118">
        <f>Table1[[#This Row],[Total Price]]*Table1[[#This Row],[Discount]]</f>
        <v>987.15000000000009</v>
      </c>
      <c r="O1118">
        <f>Table1[[#This Row],[Total Price]]-Table1[[#This Row],[Discount Amount]]</f>
        <v>18755.849999999999</v>
      </c>
    </row>
    <row r="1119" spans="1:15" x14ac:dyDescent="0.3">
      <c r="A1119" t="s">
        <v>3381</v>
      </c>
      <c r="B1119" s="1">
        <v>45432</v>
      </c>
      <c r="C1119" t="s">
        <v>3382</v>
      </c>
      <c r="D1119" t="s">
        <v>31</v>
      </c>
      <c r="E1119">
        <v>3</v>
      </c>
      <c r="F1119">
        <v>48317</v>
      </c>
      <c r="G1119" s="9">
        <v>0.37</v>
      </c>
      <c r="H1119" t="s">
        <v>45</v>
      </c>
      <c r="I1119" t="s">
        <v>3383</v>
      </c>
      <c r="J1119" s="14" t="s">
        <v>14</v>
      </c>
      <c r="K1119">
        <v>8</v>
      </c>
      <c r="L1119" t="s">
        <v>60</v>
      </c>
      <c r="M1119">
        <f>Table1[[#This Row],[UnitPrice]]*Table1[[#This Row],[Quantity]]</f>
        <v>144951</v>
      </c>
      <c r="N1119">
        <f>Table1[[#This Row],[Total Price]]*Table1[[#This Row],[Discount]]</f>
        <v>53631.87</v>
      </c>
      <c r="O1119">
        <f>Table1[[#This Row],[Total Price]]-Table1[[#This Row],[Discount Amount]]</f>
        <v>91319.13</v>
      </c>
    </row>
    <row r="1120" spans="1:15" x14ac:dyDescent="0.3">
      <c r="A1120" t="s">
        <v>3384</v>
      </c>
      <c r="B1120" s="1">
        <v>45436</v>
      </c>
      <c r="C1120" t="s">
        <v>3385</v>
      </c>
      <c r="D1120" t="s">
        <v>19</v>
      </c>
      <c r="E1120">
        <v>3</v>
      </c>
      <c r="F1120">
        <v>24053</v>
      </c>
      <c r="G1120" s="9">
        <v>0.23</v>
      </c>
      <c r="H1120" t="s">
        <v>26</v>
      </c>
      <c r="I1120" t="s">
        <v>3386</v>
      </c>
      <c r="J1120" s="13" t="s">
        <v>14</v>
      </c>
      <c r="K1120">
        <v>4</v>
      </c>
      <c r="L1120" t="s">
        <v>28</v>
      </c>
      <c r="M1120">
        <f>Table1[[#This Row],[UnitPrice]]*Table1[[#This Row],[Quantity]]</f>
        <v>72159</v>
      </c>
      <c r="N1120">
        <f>Table1[[#This Row],[Total Price]]*Table1[[#This Row],[Discount]]</f>
        <v>16596.57</v>
      </c>
      <c r="O1120">
        <f>Table1[[#This Row],[Total Price]]-Table1[[#This Row],[Discount Amount]]</f>
        <v>55562.43</v>
      </c>
    </row>
    <row r="1121" spans="1:15" x14ac:dyDescent="0.3">
      <c r="A1121" t="s">
        <v>3387</v>
      </c>
      <c r="B1121" s="1">
        <v>45620</v>
      </c>
      <c r="C1121" t="s">
        <v>3388</v>
      </c>
      <c r="D1121" t="s">
        <v>44</v>
      </c>
      <c r="E1121">
        <v>1</v>
      </c>
      <c r="F1121">
        <v>75044</v>
      </c>
      <c r="G1121" s="9">
        <v>0.41</v>
      </c>
      <c r="H1121" t="s">
        <v>26</v>
      </c>
      <c r="I1121" t="s">
        <v>3389</v>
      </c>
      <c r="J1121" s="14" t="s">
        <v>37</v>
      </c>
      <c r="K1121">
        <v>1</v>
      </c>
      <c r="L1121" t="s">
        <v>28</v>
      </c>
      <c r="M1121">
        <f>Table1[[#This Row],[UnitPrice]]*Table1[[#This Row],[Quantity]]</f>
        <v>75044</v>
      </c>
      <c r="N1121">
        <f>Table1[[#This Row],[Total Price]]*Table1[[#This Row],[Discount]]</f>
        <v>30768.039999999997</v>
      </c>
      <c r="O1121">
        <f>Table1[[#This Row],[Total Price]]-Table1[[#This Row],[Discount Amount]]</f>
        <v>44275.960000000006</v>
      </c>
    </row>
    <row r="1122" spans="1:15" x14ac:dyDescent="0.3">
      <c r="A1122" t="s">
        <v>3390</v>
      </c>
      <c r="B1122" s="1">
        <v>45787</v>
      </c>
      <c r="C1122" t="s">
        <v>3391</v>
      </c>
      <c r="D1122" t="s">
        <v>25</v>
      </c>
      <c r="E1122">
        <v>2</v>
      </c>
      <c r="F1122">
        <v>6608</v>
      </c>
      <c r="G1122" s="9">
        <v>0.35</v>
      </c>
      <c r="H1122" t="s">
        <v>20</v>
      </c>
      <c r="I1122" t="s">
        <v>3392</v>
      </c>
      <c r="J1122" s="13" t="s">
        <v>73</v>
      </c>
      <c r="K1122">
        <v>3</v>
      </c>
      <c r="L1122" t="s">
        <v>33</v>
      </c>
      <c r="M1122">
        <f>Table1[[#This Row],[UnitPrice]]*Table1[[#This Row],[Quantity]]</f>
        <v>13216</v>
      </c>
      <c r="N1122">
        <f>Table1[[#This Row],[Total Price]]*Table1[[#This Row],[Discount]]</f>
        <v>4625.5999999999995</v>
      </c>
      <c r="O1122">
        <f>Table1[[#This Row],[Total Price]]-Table1[[#This Row],[Discount Amount]]</f>
        <v>8590.4000000000015</v>
      </c>
    </row>
    <row r="1123" spans="1:15" x14ac:dyDescent="0.3">
      <c r="A1123" t="s">
        <v>3393</v>
      </c>
      <c r="B1123" s="1">
        <v>45074</v>
      </c>
      <c r="C1123" t="s">
        <v>3394</v>
      </c>
      <c r="D1123" t="s">
        <v>19</v>
      </c>
      <c r="E1123">
        <v>3</v>
      </c>
      <c r="F1123">
        <v>38437</v>
      </c>
      <c r="G1123" s="9">
        <v>0.03</v>
      </c>
      <c r="H1123" t="s">
        <v>45</v>
      </c>
      <c r="I1123" t="s">
        <v>3395</v>
      </c>
      <c r="J1123" s="14" t="s">
        <v>14</v>
      </c>
      <c r="K1123">
        <v>3</v>
      </c>
      <c r="L1123" t="s">
        <v>16</v>
      </c>
      <c r="M1123">
        <f>Table1[[#This Row],[UnitPrice]]*Table1[[#This Row],[Quantity]]</f>
        <v>115311</v>
      </c>
      <c r="N1123">
        <f>Table1[[#This Row],[Total Price]]*Table1[[#This Row],[Discount]]</f>
        <v>3459.33</v>
      </c>
      <c r="O1123">
        <f>Table1[[#This Row],[Total Price]]-Table1[[#This Row],[Discount Amount]]</f>
        <v>111851.67</v>
      </c>
    </row>
    <row r="1124" spans="1:15" x14ac:dyDescent="0.3">
      <c r="A1124" t="s">
        <v>3396</v>
      </c>
      <c r="B1124" s="1">
        <v>45084</v>
      </c>
      <c r="C1124" t="s">
        <v>838</v>
      </c>
      <c r="D1124" t="s">
        <v>12</v>
      </c>
      <c r="E1124">
        <v>2</v>
      </c>
      <c r="F1124">
        <v>2963</v>
      </c>
      <c r="G1124" s="9">
        <v>0.25</v>
      </c>
      <c r="H1124" t="s">
        <v>20</v>
      </c>
      <c r="I1124" t="s">
        <v>3397</v>
      </c>
      <c r="J1124" s="13" t="s">
        <v>73</v>
      </c>
      <c r="K1124">
        <v>8</v>
      </c>
      <c r="L1124" t="s">
        <v>33</v>
      </c>
      <c r="M1124">
        <f>Table1[[#This Row],[UnitPrice]]*Table1[[#This Row],[Quantity]]</f>
        <v>5926</v>
      </c>
      <c r="N1124">
        <f>Table1[[#This Row],[Total Price]]*Table1[[#This Row],[Discount]]</f>
        <v>1481.5</v>
      </c>
      <c r="O1124">
        <f>Table1[[#This Row],[Total Price]]-Table1[[#This Row],[Discount Amount]]</f>
        <v>4444.5</v>
      </c>
    </row>
    <row r="1125" spans="1:15" x14ac:dyDescent="0.3">
      <c r="A1125" t="s">
        <v>3398</v>
      </c>
      <c r="B1125" s="1">
        <v>45030</v>
      </c>
      <c r="C1125" t="s">
        <v>3399</v>
      </c>
      <c r="D1125" t="s">
        <v>25</v>
      </c>
      <c r="E1125">
        <v>2</v>
      </c>
      <c r="F1125">
        <v>12181</v>
      </c>
      <c r="G1125" s="9">
        <v>0.5</v>
      </c>
      <c r="H1125" t="s">
        <v>13</v>
      </c>
      <c r="I1125" t="s">
        <v>3400</v>
      </c>
      <c r="J1125" s="14" t="s">
        <v>14</v>
      </c>
      <c r="K1125">
        <v>6</v>
      </c>
      <c r="L1125" t="s">
        <v>22</v>
      </c>
      <c r="M1125">
        <f>Table1[[#This Row],[UnitPrice]]*Table1[[#This Row],[Quantity]]</f>
        <v>24362</v>
      </c>
      <c r="N1125">
        <f>Table1[[#This Row],[Total Price]]*Table1[[#This Row],[Discount]]</f>
        <v>12181</v>
      </c>
      <c r="O1125">
        <f>Table1[[#This Row],[Total Price]]-Table1[[#This Row],[Discount Amount]]</f>
        <v>12181</v>
      </c>
    </row>
    <row r="1126" spans="1:15" x14ac:dyDescent="0.3">
      <c r="A1126" t="s">
        <v>3401</v>
      </c>
      <c r="B1126" s="1">
        <v>45055</v>
      </c>
      <c r="C1126" t="s">
        <v>3402</v>
      </c>
      <c r="D1126" t="s">
        <v>31</v>
      </c>
      <c r="E1126">
        <v>1</v>
      </c>
      <c r="F1126">
        <v>22420</v>
      </c>
      <c r="G1126" s="9">
        <v>0.15</v>
      </c>
      <c r="H1126" t="s">
        <v>45</v>
      </c>
      <c r="I1126" t="s">
        <v>3403</v>
      </c>
      <c r="J1126" s="13" t="s">
        <v>73</v>
      </c>
      <c r="K1126">
        <v>5</v>
      </c>
      <c r="L1126" t="s">
        <v>16</v>
      </c>
      <c r="M1126">
        <f>Table1[[#This Row],[UnitPrice]]*Table1[[#This Row],[Quantity]]</f>
        <v>22420</v>
      </c>
      <c r="N1126">
        <f>Table1[[#This Row],[Total Price]]*Table1[[#This Row],[Discount]]</f>
        <v>3363</v>
      </c>
      <c r="O1126">
        <f>Table1[[#This Row],[Total Price]]-Table1[[#This Row],[Discount Amount]]</f>
        <v>19057</v>
      </c>
    </row>
    <row r="1127" spans="1:15" x14ac:dyDescent="0.3">
      <c r="A1127" t="s">
        <v>3404</v>
      </c>
      <c r="B1127" s="1">
        <v>45215</v>
      </c>
      <c r="C1127" t="s">
        <v>3405</v>
      </c>
      <c r="D1127" t="s">
        <v>58</v>
      </c>
      <c r="E1127">
        <v>3</v>
      </c>
      <c r="F1127">
        <v>2144</v>
      </c>
      <c r="G1127" s="9">
        <v>0.25</v>
      </c>
      <c r="H1127" t="s">
        <v>45</v>
      </c>
      <c r="I1127" t="s">
        <v>3406</v>
      </c>
      <c r="J1127" s="14" t="s">
        <v>37</v>
      </c>
      <c r="K1127">
        <v>4</v>
      </c>
      <c r="L1127" t="s">
        <v>22</v>
      </c>
      <c r="M1127">
        <f>Table1[[#This Row],[UnitPrice]]*Table1[[#This Row],[Quantity]]</f>
        <v>6432</v>
      </c>
      <c r="N1127">
        <f>Table1[[#This Row],[Total Price]]*Table1[[#This Row],[Discount]]</f>
        <v>1608</v>
      </c>
      <c r="O1127">
        <f>Table1[[#This Row],[Total Price]]-Table1[[#This Row],[Discount Amount]]</f>
        <v>4824</v>
      </c>
    </row>
    <row r="1128" spans="1:15" x14ac:dyDescent="0.3">
      <c r="A1128" t="s">
        <v>3407</v>
      </c>
      <c r="B1128" s="1">
        <v>45495</v>
      </c>
      <c r="C1128" t="s">
        <v>3408</v>
      </c>
      <c r="D1128" t="s">
        <v>19</v>
      </c>
      <c r="E1128">
        <v>1</v>
      </c>
      <c r="F1128">
        <v>18418</v>
      </c>
      <c r="G1128" s="9">
        <v>0.33</v>
      </c>
      <c r="H1128" t="s">
        <v>50</v>
      </c>
      <c r="I1128" t="s">
        <v>3409</v>
      </c>
      <c r="J1128" s="13" t="s">
        <v>37</v>
      </c>
      <c r="K1128">
        <v>7</v>
      </c>
      <c r="L1128" t="s">
        <v>60</v>
      </c>
      <c r="M1128">
        <f>Table1[[#This Row],[UnitPrice]]*Table1[[#This Row],[Quantity]]</f>
        <v>18418</v>
      </c>
      <c r="N1128">
        <f>Table1[[#This Row],[Total Price]]*Table1[[#This Row],[Discount]]</f>
        <v>6077.9400000000005</v>
      </c>
      <c r="O1128">
        <f>Table1[[#This Row],[Total Price]]-Table1[[#This Row],[Discount Amount]]</f>
        <v>12340.06</v>
      </c>
    </row>
    <row r="1129" spans="1:15" x14ac:dyDescent="0.3">
      <c r="A1129" t="s">
        <v>3410</v>
      </c>
      <c r="B1129" s="1">
        <v>45731</v>
      </c>
      <c r="C1129" t="s">
        <v>3411</v>
      </c>
      <c r="D1129" t="s">
        <v>36</v>
      </c>
      <c r="E1129">
        <v>2</v>
      </c>
      <c r="F1129">
        <v>9123</v>
      </c>
      <c r="G1129" s="9">
        <v>0.1</v>
      </c>
      <c r="H1129" t="s">
        <v>26</v>
      </c>
      <c r="I1129" t="s">
        <v>3412</v>
      </c>
      <c r="J1129" s="14" t="s">
        <v>14</v>
      </c>
      <c r="K1129">
        <v>6</v>
      </c>
      <c r="L1129" t="s">
        <v>28</v>
      </c>
      <c r="M1129">
        <f>Table1[[#This Row],[UnitPrice]]*Table1[[#This Row],[Quantity]]</f>
        <v>18246</v>
      </c>
      <c r="N1129">
        <f>Table1[[#This Row],[Total Price]]*Table1[[#This Row],[Discount]]</f>
        <v>1824.6000000000001</v>
      </c>
      <c r="O1129">
        <f>Table1[[#This Row],[Total Price]]-Table1[[#This Row],[Discount Amount]]</f>
        <v>16421.400000000001</v>
      </c>
    </row>
    <row r="1130" spans="1:15" x14ac:dyDescent="0.3">
      <c r="A1130" t="s">
        <v>3413</v>
      </c>
      <c r="B1130" s="1">
        <v>45155</v>
      </c>
      <c r="C1130" t="s">
        <v>3414</v>
      </c>
      <c r="D1130" t="s">
        <v>12</v>
      </c>
      <c r="E1130">
        <v>3</v>
      </c>
      <c r="F1130">
        <v>5021</v>
      </c>
      <c r="G1130" s="9">
        <v>0.35</v>
      </c>
      <c r="H1130" t="s">
        <v>50</v>
      </c>
      <c r="I1130" t="s">
        <v>3415</v>
      </c>
      <c r="J1130" s="13" t="s">
        <v>14</v>
      </c>
      <c r="K1130">
        <v>5</v>
      </c>
      <c r="L1130" t="s">
        <v>60</v>
      </c>
      <c r="M1130">
        <f>Table1[[#This Row],[UnitPrice]]*Table1[[#This Row],[Quantity]]</f>
        <v>15063</v>
      </c>
      <c r="N1130">
        <f>Table1[[#This Row],[Total Price]]*Table1[[#This Row],[Discount]]</f>
        <v>5272.0499999999993</v>
      </c>
      <c r="O1130">
        <f>Table1[[#This Row],[Total Price]]-Table1[[#This Row],[Discount Amount]]</f>
        <v>9790.9500000000007</v>
      </c>
    </row>
    <row r="1131" spans="1:15" x14ac:dyDescent="0.3">
      <c r="A1131" t="s">
        <v>3416</v>
      </c>
      <c r="B1131" s="1">
        <v>45088</v>
      </c>
      <c r="C1131" t="s">
        <v>3417</v>
      </c>
      <c r="D1131" t="s">
        <v>31</v>
      </c>
      <c r="E1131">
        <v>2</v>
      </c>
      <c r="F1131">
        <v>49657</v>
      </c>
      <c r="G1131" s="9">
        <v>0.33</v>
      </c>
      <c r="H1131" t="s">
        <v>50</v>
      </c>
      <c r="I1131" t="s">
        <v>3418</v>
      </c>
      <c r="J1131" s="14" t="s">
        <v>73</v>
      </c>
      <c r="K1131">
        <v>8</v>
      </c>
      <c r="L1131" t="s">
        <v>16</v>
      </c>
      <c r="M1131">
        <f>Table1[[#This Row],[UnitPrice]]*Table1[[#This Row],[Quantity]]</f>
        <v>99314</v>
      </c>
      <c r="N1131">
        <f>Table1[[#This Row],[Total Price]]*Table1[[#This Row],[Discount]]</f>
        <v>32773.620000000003</v>
      </c>
      <c r="O1131">
        <f>Table1[[#This Row],[Total Price]]-Table1[[#This Row],[Discount Amount]]</f>
        <v>66540.38</v>
      </c>
    </row>
    <row r="1132" spans="1:15" x14ac:dyDescent="0.3">
      <c r="A1132" t="s">
        <v>3419</v>
      </c>
      <c r="B1132" s="1">
        <v>45704</v>
      </c>
      <c r="C1132" t="s">
        <v>3420</v>
      </c>
      <c r="D1132" t="s">
        <v>44</v>
      </c>
      <c r="E1132">
        <v>2</v>
      </c>
      <c r="F1132">
        <v>46240</v>
      </c>
      <c r="G1132" s="9">
        <v>0.19</v>
      </c>
      <c r="H1132" t="s">
        <v>26</v>
      </c>
      <c r="I1132" t="s">
        <v>3421</v>
      </c>
      <c r="J1132" s="13" t="s">
        <v>73</v>
      </c>
      <c r="K1132">
        <v>5</v>
      </c>
      <c r="L1132" t="s">
        <v>16</v>
      </c>
      <c r="M1132">
        <f>Table1[[#This Row],[UnitPrice]]*Table1[[#This Row],[Quantity]]</f>
        <v>92480</v>
      </c>
      <c r="N1132">
        <f>Table1[[#This Row],[Total Price]]*Table1[[#This Row],[Discount]]</f>
        <v>17571.2</v>
      </c>
      <c r="O1132">
        <f>Table1[[#This Row],[Total Price]]-Table1[[#This Row],[Discount Amount]]</f>
        <v>74908.800000000003</v>
      </c>
    </row>
    <row r="1133" spans="1:15" x14ac:dyDescent="0.3">
      <c r="A1133" t="s">
        <v>3422</v>
      </c>
      <c r="B1133" s="1">
        <v>45491</v>
      </c>
      <c r="C1133" t="s">
        <v>3423</v>
      </c>
      <c r="D1133" t="s">
        <v>19</v>
      </c>
      <c r="E1133">
        <v>2</v>
      </c>
      <c r="F1133">
        <v>42592</v>
      </c>
      <c r="G1133" s="9">
        <v>0.14000000000000001</v>
      </c>
      <c r="H1133" t="s">
        <v>26</v>
      </c>
      <c r="I1133" t="s">
        <v>3424</v>
      </c>
      <c r="J1133" s="14" t="s">
        <v>73</v>
      </c>
      <c r="K1133">
        <v>3</v>
      </c>
      <c r="L1133" t="s">
        <v>33</v>
      </c>
      <c r="M1133">
        <f>Table1[[#This Row],[UnitPrice]]*Table1[[#This Row],[Quantity]]</f>
        <v>85184</v>
      </c>
      <c r="N1133">
        <f>Table1[[#This Row],[Total Price]]*Table1[[#This Row],[Discount]]</f>
        <v>11925.760000000002</v>
      </c>
      <c r="O1133">
        <f>Table1[[#This Row],[Total Price]]-Table1[[#This Row],[Discount Amount]]</f>
        <v>73258.239999999991</v>
      </c>
    </row>
    <row r="1134" spans="1:15" x14ac:dyDescent="0.3">
      <c r="A1134" t="s">
        <v>3425</v>
      </c>
      <c r="B1134" s="1">
        <v>45628</v>
      </c>
      <c r="C1134" t="s">
        <v>3426</v>
      </c>
      <c r="D1134" t="s">
        <v>31</v>
      </c>
      <c r="E1134">
        <v>2</v>
      </c>
      <c r="F1134">
        <v>46882</v>
      </c>
      <c r="G1134" s="9">
        <v>0.46</v>
      </c>
      <c r="H1134" t="s">
        <v>26</v>
      </c>
      <c r="I1134" t="s">
        <v>3427</v>
      </c>
      <c r="J1134" s="13" t="s">
        <v>73</v>
      </c>
      <c r="K1134">
        <v>4</v>
      </c>
      <c r="L1134" t="s">
        <v>28</v>
      </c>
      <c r="M1134">
        <f>Table1[[#This Row],[UnitPrice]]*Table1[[#This Row],[Quantity]]</f>
        <v>93764</v>
      </c>
      <c r="N1134">
        <f>Table1[[#This Row],[Total Price]]*Table1[[#This Row],[Discount]]</f>
        <v>43131.44</v>
      </c>
      <c r="O1134">
        <f>Table1[[#This Row],[Total Price]]-Table1[[#This Row],[Discount Amount]]</f>
        <v>50632.56</v>
      </c>
    </row>
    <row r="1135" spans="1:15" x14ac:dyDescent="0.3">
      <c r="A1135" t="s">
        <v>3428</v>
      </c>
      <c r="B1135" s="1">
        <v>45391</v>
      </c>
      <c r="C1135" t="s">
        <v>3429</v>
      </c>
      <c r="D1135" t="s">
        <v>36</v>
      </c>
      <c r="E1135">
        <v>2</v>
      </c>
      <c r="F1135">
        <v>7321</v>
      </c>
      <c r="G1135" s="9">
        <v>0.06</v>
      </c>
      <c r="H1135" t="s">
        <v>45</v>
      </c>
      <c r="I1135" t="s">
        <v>3430</v>
      </c>
      <c r="J1135" s="14" t="s">
        <v>73</v>
      </c>
      <c r="K1135">
        <v>5</v>
      </c>
      <c r="L1135" t="s">
        <v>33</v>
      </c>
      <c r="M1135">
        <f>Table1[[#This Row],[UnitPrice]]*Table1[[#This Row],[Quantity]]</f>
        <v>14642</v>
      </c>
      <c r="N1135">
        <f>Table1[[#This Row],[Total Price]]*Table1[[#This Row],[Discount]]</f>
        <v>878.52</v>
      </c>
      <c r="O1135">
        <f>Table1[[#This Row],[Total Price]]-Table1[[#This Row],[Discount Amount]]</f>
        <v>13763.48</v>
      </c>
    </row>
    <row r="1136" spans="1:15" x14ac:dyDescent="0.3">
      <c r="A1136" t="s">
        <v>3431</v>
      </c>
      <c r="B1136" s="1">
        <v>45451</v>
      </c>
      <c r="C1136" t="s">
        <v>3432</v>
      </c>
      <c r="D1136" t="s">
        <v>58</v>
      </c>
      <c r="E1136">
        <v>2</v>
      </c>
      <c r="F1136">
        <v>3689</v>
      </c>
      <c r="G1136" s="9">
        <v>0.22</v>
      </c>
      <c r="H1136" t="s">
        <v>13</v>
      </c>
      <c r="I1136" t="s">
        <v>3433</v>
      </c>
      <c r="J1136" s="13" t="s">
        <v>37</v>
      </c>
      <c r="K1136">
        <v>4</v>
      </c>
      <c r="L1136" t="s">
        <v>33</v>
      </c>
      <c r="M1136">
        <f>Table1[[#This Row],[UnitPrice]]*Table1[[#This Row],[Quantity]]</f>
        <v>7378</v>
      </c>
      <c r="N1136">
        <f>Table1[[#This Row],[Total Price]]*Table1[[#This Row],[Discount]]</f>
        <v>1623.16</v>
      </c>
      <c r="O1136">
        <f>Table1[[#This Row],[Total Price]]-Table1[[#This Row],[Discount Amount]]</f>
        <v>5754.84</v>
      </c>
    </row>
    <row r="1137" spans="1:15" x14ac:dyDescent="0.3">
      <c r="A1137" t="s">
        <v>3434</v>
      </c>
      <c r="B1137" s="1">
        <v>45288</v>
      </c>
      <c r="C1137" t="s">
        <v>3435</v>
      </c>
      <c r="D1137" t="s">
        <v>36</v>
      </c>
      <c r="E1137">
        <v>3</v>
      </c>
      <c r="F1137">
        <v>7223</v>
      </c>
      <c r="G1137" s="9">
        <v>0.38</v>
      </c>
      <c r="H1137" t="s">
        <v>20</v>
      </c>
      <c r="I1137" t="s">
        <v>3436</v>
      </c>
      <c r="J1137" s="14" t="s">
        <v>14</v>
      </c>
      <c r="K1137">
        <v>2</v>
      </c>
      <c r="L1137" t="s">
        <v>60</v>
      </c>
      <c r="M1137">
        <f>Table1[[#This Row],[UnitPrice]]*Table1[[#This Row],[Quantity]]</f>
        <v>21669</v>
      </c>
      <c r="N1137">
        <f>Table1[[#This Row],[Total Price]]*Table1[[#This Row],[Discount]]</f>
        <v>8234.2199999999993</v>
      </c>
      <c r="O1137">
        <f>Table1[[#This Row],[Total Price]]-Table1[[#This Row],[Discount Amount]]</f>
        <v>13434.78</v>
      </c>
    </row>
    <row r="1138" spans="1:15" x14ac:dyDescent="0.3">
      <c r="A1138" t="s">
        <v>3437</v>
      </c>
      <c r="B1138" s="1">
        <v>45193</v>
      </c>
      <c r="C1138" t="s">
        <v>3438</v>
      </c>
      <c r="D1138" t="s">
        <v>25</v>
      </c>
      <c r="E1138">
        <v>2</v>
      </c>
      <c r="F1138">
        <v>12059</v>
      </c>
      <c r="G1138" s="9">
        <v>7.0000000000000007E-2</v>
      </c>
      <c r="H1138" t="s">
        <v>45</v>
      </c>
      <c r="I1138" t="s">
        <v>3439</v>
      </c>
      <c r="J1138" s="13" t="s">
        <v>73</v>
      </c>
      <c r="K1138">
        <v>4</v>
      </c>
      <c r="L1138" t="s">
        <v>33</v>
      </c>
      <c r="M1138">
        <f>Table1[[#This Row],[UnitPrice]]*Table1[[#This Row],[Quantity]]</f>
        <v>24118</v>
      </c>
      <c r="N1138">
        <f>Table1[[#This Row],[Total Price]]*Table1[[#This Row],[Discount]]</f>
        <v>1688.2600000000002</v>
      </c>
      <c r="O1138">
        <f>Table1[[#This Row],[Total Price]]-Table1[[#This Row],[Discount Amount]]</f>
        <v>22429.739999999998</v>
      </c>
    </row>
    <row r="1139" spans="1:15" x14ac:dyDescent="0.3">
      <c r="A1139" t="s">
        <v>3440</v>
      </c>
      <c r="B1139" s="1">
        <v>45502</v>
      </c>
      <c r="C1139" t="s">
        <v>3441</v>
      </c>
      <c r="D1139" t="s">
        <v>36</v>
      </c>
      <c r="E1139">
        <v>1</v>
      </c>
      <c r="F1139">
        <v>8859</v>
      </c>
      <c r="G1139" s="9">
        <v>0.47</v>
      </c>
      <c r="H1139" t="s">
        <v>50</v>
      </c>
      <c r="I1139" t="s">
        <v>3442</v>
      </c>
      <c r="J1139" s="14" t="s">
        <v>73</v>
      </c>
      <c r="K1139">
        <v>5</v>
      </c>
      <c r="L1139" t="s">
        <v>16</v>
      </c>
      <c r="M1139">
        <f>Table1[[#This Row],[UnitPrice]]*Table1[[#This Row],[Quantity]]</f>
        <v>8859</v>
      </c>
      <c r="N1139">
        <f>Table1[[#This Row],[Total Price]]*Table1[[#This Row],[Discount]]</f>
        <v>4163.7299999999996</v>
      </c>
      <c r="O1139">
        <f>Table1[[#This Row],[Total Price]]-Table1[[#This Row],[Discount Amount]]</f>
        <v>4695.2700000000004</v>
      </c>
    </row>
    <row r="1140" spans="1:15" x14ac:dyDescent="0.3">
      <c r="A1140" t="s">
        <v>3443</v>
      </c>
      <c r="B1140" s="1">
        <v>45278</v>
      </c>
      <c r="C1140" t="s">
        <v>3444</v>
      </c>
      <c r="D1140" t="s">
        <v>58</v>
      </c>
      <c r="E1140">
        <v>1</v>
      </c>
      <c r="F1140">
        <v>8194</v>
      </c>
      <c r="G1140" s="9">
        <v>0.26</v>
      </c>
      <c r="H1140" t="s">
        <v>13</v>
      </c>
      <c r="I1140" t="s">
        <v>3445</v>
      </c>
      <c r="J1140" s="13" t="s">
        <v>73</v>
      </c>
      <c r="K1140">
        <v>4</v>
      </c>
      <c r="L1140" t="s">
        <v>16</v>
      </c>
      <c r="M1140">
        <f>Table1[[#This Row],[UnitPrice]]*Table1[[#This Row],[Quantity]]</f>
        <v>8194</v>
      </c>
      <c r="N1140">
        <f>Table1[[#This Row],[Total Price]]*Table1[[#This Row],[Discount]]</f>
        <v>2130.44</v>
      </c>
      <c r="O1140">
        <f>Table1[[#This Row],[Total Price]]-Table1[[#This Row],[Discount Amount]]</f>
        <v>6063.5599999999995</v>
      </c>
    </row>
    <row r="1141" spans="1:15" x14ac:dyDescent="0.3">
      <c r="A1141" t="s">
        <v>3446</v>
      </c>
      <c r="B1141" s="1">
        <v>45717</v>
      </c>
      <c r="C1141" t="s">
        <v>3182</v>
      </c>
      <c r="D1141" t="s">
        <v>31</v>
      </c>
      <c r="E1141">
        <v>3</v>
      </c>
      <c r="F1141">
        <v>15093</v>
      </c>
      <c r="G1141" s="9">
        <v>0.25</v>
      </c>
      <c r="H1141" t="s">
        <v>45</v>
      </c>
      <c r="I1141" t="s">
        <v>3447</v>
      </c>
      <c r="J1141" s="14" t="s">
        <v>14</v>
      </c>
      <c r="K1141">
        <v>4</v>
      </c>
      <c r="L1141" t="s">
        <v>28</v>
      </c>
      <c r="M1141">
        <f>Table1[[#This Row],[UnitPrice]]*Table1[[#This Row],[Quantity]]</f>
        <v>45279</v>
      </c>
      <c r="N1141">
        <f>Table1[[#This Row],[Total Price]]*Table1[[#This Row],[Discount]]</f>
        <v>11319.75</v>
      </c>
      <c r="O1141">
        <f>Table1[[#This Row],[Total Price]]-Table1[[#This Row],[Discount Amount]]</f>
        <v>33959.25</v>
      </c>
    </row>
    <row r="1142" spans="1:15" x14ac:dyDescent="0.3">
      <c r="A1142" t="s">
        <v>3448</v>
      </c>
      <c r="B1142" s="1">
        <v>45467</v>
      </c>
      <c r="C1142" t="s">
        <v>3449</v>
      </c>
      <c r="D1142" t="s">
        <v>36</v>
      </c>
      <c r="E1142">
        <v>2</v>
      </c>
      <c r="F1142">
        <v>7306</v>
      </c>
      <c r="G1142" s="9">
        <v>0.21</v>
      </c>
      <c r="H1142" t="s">
        <v>26</v>
      </c>
      <c r="I1142" t="s">
        <v>3450</v>
      </c>
      <c r="J1142" s="13" t="s">
        <v>73</v>
      </c>
      <c r="K1142">
        <v>3</v>
      </c>
      <c r="L1142" t="s">
        <v>22</v>
      </c>
      <c r="M1142">
        <f>Table1[[#This Row],[UnitPrice]]*Table1[[#This Row],[Quantity]]</f>
        <v>14612</v>
      </c>
      <c r="N1142">
        <f>Table1[[#This Row],[Total Price]]*Table1[[#This Row],[Discount]]</f>
        <v>3068.52</v>
      </c>
      <c r="O1142">
        <f>Table1[[#This Row],[Total Price]]-Table1[[#This Row],[Discount Amount]]</f>
        <v>11543.48</v>
      </c>
    </row>
    <row r="1143" spans="1:15" x14ac:dyDescent="0.3">
      <c r="A1143" t="s">
        <v>3451</v>
      </c>
      <c r="B1143" s="1">
        <v>45704</v>
      </c>
      <c r="C1143" t="s">
        <v>3452</v>
      </c>
      <c r="D1143" t="s">
        <v>31</v>
      </c>
      <c r="E1143">
        <v>1</v>
      </c>
      <c r="F1143">
        <v>16519</v>
      </c>
      <c r="G1143" s="9">
        <v>0.43</v>
      </c>
      <c r="H1143" t="s">
        <v>50</v>
      </c>
      <c r="I1143" t="s">
        <v>3453</v>
      </c>
      <c r="J1143" s="14" t="s">
        <v>37</v>
      </c>
      <c r="K1143">
        <v>6</v>
      </c>
      <c r="L1143" t="s">
        <v>28</v>
      </c>
      <c r="M1143">
        <f>Table1[[#This Row],[UnitPrice]]*Table1[[#This Row],[Quantity]]</f>
        <v>16519</v>
      </c>
      <c r="N1143">
        <f>Table1[[#This Row],[Total Price]]*Table1[[#This Row],[Discount]]</f>
        <v>7103.17</v>
      </c>
      <c r="O1143">
        <f>Table1[[#This Row],[Total Price]]-Table1[[#This Row],[Discount Amount]]</f>
        <v>9415.83</v>
      </c>
    </row>
    <row r="1144" spans="1:15" x14ac:dyDescent="0.3">
      <c r="A1144" t="s">
        <v>3454</v>
      </c>
      <c r="B1144" s="1">
        <v>45527</v>
      </c>
      <c r="C1144" t="s">
        <v>3455</v>
      </c>
      <c r="D1144" t="s">
        <v>19</v>
      </c>
      <c r="E1144">
        <v>3</v>
      </c>
      <c r="F1144">
        <v>26749</v>
      </c>
      <c r="G1144" s="9">
        <v>0.47</v>
      </c>
      <c r="H1144" t="s">
        <v>13</v>
      </c>
      <c r="I1144" t="s">
        <v>3456</v>
      </c>
      <c r="J1144" s="13" t="s">
        <v>73</v>
      </c>
      <c r="K1144">
        <v>8</v>
      </c>
      <c r="L1144" t="s">
        <v>28</v>
      </c>
      <c r="M1144">
        <f>Table1[[#This Row],[UnitPrice]]*Table1[[#This Row],[Quantity]]</f>
        <v>80247</v>
      </c>
      <c r="N1144">
        <f>Table1[[#This Row],[Total Price]]*Table1[[#This Row],[Discount]]</f>
        <v>37716.089999999997</v>
      </c>
      <c r="O1144">
        <f>Table1[[#This Row],[Total Price]]-Table1[[#This Row],[Discount Amount]]</f>
        <v>42530.91</v>
      </c>
    </row>
    <row r="1145" spans="1:15" x14ac:dyDescent="0.3">
      <c r="A1145" t="s">
        <v>3457</v>
      </c>
      <c r="B1145" s="1">
        <v>45019</v>
      </c>
      <c r="C1145" t="s">
        <v>3458</v>
      </c>
      <c r="D1145" t="s">
        <v>31</v>
      </c>
      <c r="E1145">
        <v>2</v>
      </c>
      <c r="F1145">
        <v>25921</v>
      </c>
      <c r="G1145" s="9">
        <v>0.19</v>
      </c>
      <c r="H1145" t="s">
        <v>13</v>
      </c>
      <c r="I1145" t="s">
        <v>3459</v>
      </c>
      <c r="J1145" s="14" t="s">
        <v>73</v>
      </c>
      <c r="K1145">
        <v>5</v>
      </c>
      <c r="L1145" t="s">
        <v>28</v>
      </c>
      <c r="M1145">
        <f>Table1[[#This Row],[UnitPrice]]*Table1[[#This Row],[Quantity]]</f>
        <v>51842</v>
      </c>
      <c r="N1145">
        <f>Table1[[#This Row],[Total Price]]*Table1[[#This Row],[Discount]]</f>
        <v>9849.98</v>
      </c>
      <c r="O1145">
        <f>Table1[[#This Row],[Total Price]]-Table1[[#This Row],[Discount Amount]]</f>
        <v>41992.020000000004</v>
      </c>
    </row>
    <row r="1146" spans="1:15" x14ac:dyDescent="0.3">
      <c r="A1146" t="s">
        <v>3460</v>
      </c>
      <c r="B1146" s="1">
        <v>44973</v>
      </c>
      <c r="C1146" t="s">
        <v>3461</v>
      </c>
      <c r="D1146" t="s">
        <v>58</v>
      </c>
      <c r="E1146">
        <v>1</v>
      </c>
      <c r="F1146">
        <v>5836</v>
      </c>
      <c r="G1146" s="9">
        <v>0.27</v>
      </c>
      <c r="H1146" t="s">
        <v>20</v>
      </c>
      <c r="I1146" t="s">
        <v>3462</v>
      </c>
      <c r="J1146" s="13" t="s">
        <v>73</v>
      </c>
      <c r="K1146">
        <v>9</v>
      </c>
      <c r="L1146" t="s">
        <v>33</v>
      </c>
      <c r="M1146">
        <f>Table1[[#This Row],[UnitPrice]]*Table1[[#This Row],[Quantity]]</f>
        <v>5836</v>
      </c>
      <c r="N1146">
        <f>Table1[[#This Row],[Total Price]]*Table1[[#This Row],[Discount]]</f>
        <v>1575.72</v>
      </c>
      <c r="O1146">
        <f>Table1[[#This Row],[Total Price]]-Table1[[#This Row],[Discount Amount]]</f>
        <v>4260.28</v>
      </c>
    </row>
    <row r="1147" spans="1:15" x14ac:dyDescent="0.3">
      <c r="A1147" t="s">
        <v>3463</v>
      </c>
      <c r="B1147" s="1">
        <v>45789</v>
      </c>
      <c r="C1147" t="s">
        <v>3464</v>
      </c>
      <c r="D1147" t="s">
        <v>58</v>
      </c>
      <c r="E1147">
        <v>1</v>
      </c>
      <c r="F1147">
        <v>9611</v>
      </c>
      <c r="G1147" s="9">
        <v>0.16</v>
      </c>
      <c r="H1147" t="s">
        <v>13</v>
      </c>
      <c r="I1147" t="s">
        <v>3465</v>
      </c>
      <c r="J1147" s="14" t="s">
        <v>37</v>
      </c>
      <c r="K1147">
        <v>6</v>
      </c>
      <c r="L1147" t="s">
        <v>33</v>
      </c>
      <c r="M1147">
        <f>Table1[[#This Row],[UnitPrice]]*Table1[[#This Row],[Quantity]]</f>
        <v>9611</v>
      </c>
      <c r="N1147">
        <f>Table1[[#This Row],[Total Price]]*Table1[[#This Row],[Discount]]</f>
        <v>1537.76</v>
      </c>
      <c r="O1147">
        <f>Table1[[#This Row],[Total Price]]-Table1[[#This Row],[Discount Amount]]</f>
        <v>8073.24</v>
      </c>
    </row>
    <row r="1148" spans="1:15" x14ac:dyDescent="0.3">
      <c r="A1148" t="s">
        <v>3466</v>
      </c>
      <c r="B1148" s="1">
        <v>45568</v>
      </c>
      <c r="C1148" t="s">
        <v>3467</v>
      </c>
      <c r="D1148" t="s">
        <v>12</v>
      </c>
      <c r="E1148">
        <v>3</v>
      </c>
      <c r="F1148">
        <v>9104</v>
      </c>
      <c r="G1148" s="9">
        <v>0.18</v>
      </c>
      <c r="H1148" t="s">
        <v>50</v>
      </c>
      <c r="I1148" t="s">
        <v>3468</v>
      </c>
      <c r="J1148" s="13" t="s">
        <v>73</v>
      </c>
      <c r="K1148">
        <v>5</v>
      </c>
      <c r="L1148" t="s">
        <v>16</v>
      </c>
      <c r="M1148">
        <f>Table1[[#This Row],[UnitPrice]]*Table1[[#This Row],[Quantity]]</f>
        <v>27312</v>
      </c>
      <c r="N1148">
        <f>Table1[[#This Row],[Total Price]]*Table1[[#This Row],[Discount]]</f>
        <v>4916.16</v>
      </c>
      <c r="O1148">
        <f>Table1[[#This Row],[Total Price]]-Table1[[#This Row],[Discount Amount]]</f>
        <v>22395.84</v>
      </c>
    </row>
    <row r="1149" spans="1:15" x14ac:dyDescent="0.3">
      <c r="A1149" t="s">
        <v>3469</v>
      </c>
      <c r="B1149" s="1">
        <v>45659</v>
      </c>
      <c r="C1149" t="s">
        <v>3470</v>
      </c>
      <c r="D1149" t="s">
        <v>31</v>
      </c>
      <c r="E1149">
        <v>1</v>
      </c>
      <c r="F1149">
        <v>45130</v>
      </c>
      <c r="G1149" s="9">
        <v>0.01</v>
      </c>
      <c r="H1149" t="s">
        <v>20</v>
      </c>
      <c r="I1149" t="s">
        <v>3471</v>
      </c>
      <c r="J1149" s="14" t="s">
        <v>73</v>
      </c>
      <c r="K1149">
        <v>2</v>
      </c>
      <c r="L1149" t="s">
        <v>28</v>
      </c>
      <c r="M1149">
        <f>Table1[[#This Row],[UnitPrice]]*Table1[[#This Row],[Quantity]]</f>
        <v>45130</v>
      </c>
      <c r="N1149">
        <f>Table1[[#This Row],[Total Price]]*Table1[[#This Row],[Discount]]</f>
        <v>451.3</v>
      </c>
      <c r="O1149">
        <f>Table1[[#This Row],[Total Price]]-Table1[[#This Row],[Discount Amount]]</f>
        <v>44678.7</v>
      </c>
    </row>
    <row r="1150" spans="1:15" x14ac:dyDescent="0.3">
      <c r="A1150" t="s">
        <v>3472</v>
      </c>
      <c r="B1150" s="1">
        <v>45468</v>
      </c>
      <c r="C1150" t="s">
        <v>3473</v>
      </c>
      <c r="D1150" t="s">
        <v>19</v>
      </c>
      <c r="E1150">
        <v>2</v>
      </c>
      <c r="F1150">
        <v>22179</v>
      </c>
      <c r="G1150" s="9">
        <v>0.39</v>
      </c>
      <c r="H1150" t="s">
        <v>50</v>
      </c>
      <c r="I1150" t="s">
        <v>3474</v>
      </c>
      <c r="J1150" s="13" t="s">
        <v>14</v>
      </c>
      <c r="K1150">
        <v>2</v>
      </c>
      <c r="L1150" t="s">
        <v>28</v>
      </c>
      <c r="M1150">
        <f>Table1[[#This Row],[UnitPrice]]*Table1[[#This Row],[Quantity]]</f>
        <v>44358</v>
      </c>
      <c r="N1150">
        <f>Table1[[#This Row],[Total Price]]*Table1[[#This Row],[Discount]]</f>
        <v>17299.62</v>
      </c>
      <c r="O1150">
        <f>Table1[[#This Row],[Total Price]]-Table1[[#This Row],[Discount Amount]]</f>
        <v>27058.38</v>
      </c>
    </row>
    <row r="1151" spans="1:15" x14ac:dyDescent="0.3">
      <c r="A1151" t="s">
        <v>3475</v>
      </c>
      <c r="B1151" s="1">
        <v>45498</v>
      </c>
      <c r="C1151" t="s">
        <v>3476</v>
      </c>
      <c r="D1151" t="s">
        <v>31</v>
      </c>
      <c r="E1151">
        <v>1</v>
      </c>
      <c r="F1151">
        <v>41941</v>
      </c>
      <c r="G1151" s="9">
        <v>0.48</v>
      </c>
      <c r="H1151" t="s">
        <v>26</v>
      </c>
      <c r="I1151" t="s">
        <v>3477</v>
      </c>
      <c r="J1151" s="14" t="s">
        <v>73</v>
      </c>
      <c r="K1151">
        <v>6</v>
      </c>
      <c r="L1151" t="s">
        <v>16</v>
      </c>
      <c r="M1151">
        <f>Table1[[#This Row],[UnitPrice]]*Table1[[#This Row],[Quantity]]</f>
        <v>41941</v>
      </c>
      <c r="N1151">
        <f>Table1[[#This Row],[Total Price]]*Table1[[#This Row],[Discount]]</f>
        <v>20131.68</v>
      </c>
      <c r="O1151">
        <f>Table1[[#This Row],[Total Price]]-Table1[[#This Row],[Discount Amount]]</f>
        <v>21809.32</v>
      </c>
    </row>
    <row r="1152" spans="1:15" x14ac:dyDescent="0.3">
      <c r="A1152" t="s">
        <v>3478</v>
      </c>
      <c r="B1152" s="1">
        <v>44977</v>
      </c>
      <c r="C1152" t="s">
        <v>3479</v>
      </c>
      <c r="D1152" t="s">
        <v>58</v>
      </c>
      <c r="E1152">
        <v>3</v>
      </c>
      <c r="F1152">
        <v>7446</v>
      </c>
      <c r="G1152" s="9">
        <v>0.38</v>
      </c>
      <c r="H1152" t="s">
        <v>26</v>
      </c>
      <c r="I1152" t="s">
        <v>3480</v>
      </c>
      <c r="J1152" s="13" t="s">
        <v>73</v>
      </c>
      <c r="K1152">
        <v>8</v>
      </c>
      <c r="L1152" t="s">
        <v>22</v>
      </c>
      <c r="M1152">
        <f>Table1[[#This Row],[UnitPrice]]*Table1[[#This Row],[Quantity]]</f>
        <v>22338</v>
      </c>
      <c r="N1152">
        <f>Table1[[#This Row],[Total Price]]*Table1[[#This Row],[Discount]]</f>
        <v>8488.44</v>
      </c>
      <c r="O1152">
        <f>Table1[[#This Row],[Total Price]]-Table1[[#This Row],[Discount Amount]]</f>
        <v>13849.56</v>
      </c>
    </row>
    <row r="1153" spans="1:15" x14ac:dyDescent="0.3">
      <c r="A1153" t="s">
        <v>3481</v>
      </c>
      <c r="B1153" s="1">
        <v>44955</v>
      </c>
      <c r="C1153" t="s">
        <v>3482</v>
      </c>
      <c r="D1153" t="s">
        <v>31</v>
      </c>
      <c r="E1153">
        <v>1</v>
      </c>
      <c r="F1153">
        <v>32760</v>
      </c>
      <c r="G1153" s="9">
        <v>0.26</v>
      </c>
      <c r="H1153" t="s">
        <v>50</v>
      </c>
      <c r="I1153" t="s">
        <v>3483</v>
      </c>
      <c r="J1153" s="14" t="s">
        <v>73</v>
      </c>
      <c r="K1153">
        <v>4</v>
      </c>
      <c r="L1153" t="s">
        <v>60</v>
      </c>
      <c r="M1153">
        <f>Table1[[#This Row],[UnitPrice]]*Table1[[#This Row],[Quantity]]</f>
        <v>32760</v>
      </c>
      <c r="N1153">
        <f>Table1[[#This Row],[Total Price]]*Table1[[#This Row],[Discount]]</f>
        <v>8517.6</v>
      </c>
      <c r="O1153">
        <f>Table1[[#This Row],[Total Price]]-Table1[[#This Row],[Discount Amount]]</f>
        <v>24242.400000000001</v>
      </c>
    </row>
    <row r="1154" spans="1:15" x14ac:dyDescent="0.3">
      <c r="A1154" t="s">
        <v>3484</v>
      </c>
      <c r="B1154" s="1">
        <v>45239</v>
      </c>
      <c r="C1154" t="s">
        <v>3485</v>
      </c>
      <c r="D1154" t="s">
        <v>25</v>
      </c>
      <c r="E1154">
        <v>2</v>
      </c>
      <c r="F1154">
        <v>5207</v>
      </c>
      <c r="G1154" s="9">
        <v>0.41</v>
      </c>
      <c r="H1154" t="s">
        <v>26</v>
      </c>
      <c r="I1154" t="s">
        <v>3486</v>
      </c>
      <c r="J1154" s="13" t="s">
        <v>14</v>
      </c>
      <c r="K1154">
        <v>7</v>
      </c>
      <c r="L1154" t="s">
        <v>22</v>
      </c>
      <c r="M1154">
        <f>Table1[[#This Row],[UnitPrice]]*Table1[[#This Row],[Quantity]]</f>
        <v>10414</v>
      </c>
      <c r="N1154">
        <f>Table1[[#This Row],[Total Price]]*Table1[[#This Row],[Discount]]</f>
        <v>4269.74</v>
      </c>
      <c r="O1154">
        <f>Table1[[#This Row],[Total Price]]-Table1[[#This Row],[Discount Amount]]</f>
        <v>6144.26</v>
      </c>
    </row>
    <row r="1155" spans="1:15" x14ac:dyDescent="0.3">
      <c r="A1155" t="s">
        <v>3487</v>
      </c>
      <c r="B1155" s="1">
        <v>45642</v>
      </c>
      <c r="C1155" t="s">
        <v>3488</v>
      </c>
      <c r="D1155" t="s">
        <v>12</v>
      </c>
      <c r="E1155">
        <v>1</v>
      </c>
      <c r="F1155">
        <v>4793</v>
      </c>
      <c r="G1155" s="9">
        <v>0.43</v>
      </c>
      <c r="H1155" t="s">
        <v>13</v>
      </c>
      <c r="I1155" t="s">
        <v>3489</v>
      </c>
      <c r="J1155" s="14" t="s">
        <v>14</v>
      </c>
      <c r="K1155">
        <v>4</v>
      </c>
      <c r="L1155" t="s">
        <v>16</v>
      </c>
      <c r="M1155">
        <f>Table1[[#This Row],[UnitPrice]]*Table1[[#This Row],[Quantity]]</f>
        <v>4793</v>
      </c>
      <c r="N1155">
        <f>Table1[[#This Row],[Total Price]]*Table1[[#This Row],[Discount]]</f>
        <v>2060.9899999999998</v>
      </c>
      <c r="O1155">
        <f>Table1[[#This Row],[Total Price]]-Table1[[#This Row],[Discount Amount]]</f>
        <v>2732.01</v>
      </c>
    </row>
    <row r="1156" spans="1:15" x14ac:dyDescent="0.3">
      <c r="A1156" t="s">
        <v>3490</v>
      </c>
      <c r="B1156" s="1">
        <v>45819</v>
      </c>
      <c r="C1156" t="s">
        <v>3491</v>
      </c>
      <c r="D1156" t="s">
        <v>12</v>
      </c>
      <c r="E1156">
        <v>3</v>
      </c>
      <c r="F1156">
        <v>8349</v>
      </c>
      <c r="G1156" s="9">
        <v>0.27</v>
      </c>
      <c r="H1156" t="s">
        <v>50</v>
      </c>
      <c r="I1156" t="s">
        <v>3492</v>
      </c>
      <c r="J1156" s="13" t="s">
        <v>73</v>
      </c>
      <c r="K1156">
        <v>8</v>
      </c>
      <c r="L1156" t="s">
        <v>16</v>
      </c>
      <c r="M1156">
        <f>Table1[[#This Row],[UnitPrice]]*Table1[[#This Row],[Quantity]]</f>
        <v>25047</v>
      </c>
      <c r="N1156">
        <f>Table1[[#This Row],[Total Price]]*Table1[[#This Row],[Discount]]</f>
        <v>6762.6900000000005</v>
      </c>
      <c r="O1156">
        <f>Table1[[#This Row],[Total Price]]-Table1[[#This Row],[Discount Amount]]</f>
        <v>18284.309999999998</v>
      </c>
    </row>
    <row r="1157" spans="1:15" x14ac:dyDescent="0.3">
      <c r="A1157" t="s">
        <v>3493</v>
      </c>
      <c r="B1157" s="1">
        <v>45151</v>
      </c>
      <c r="C1157" t="s">
        <v>3494</v>
      </c>
      <c r="D1157" t="s">
        <v>36</v>
      </c>
      <c r="E1157">
        <v>3</v>
      </c>
      <c r="F1157">
        <v>8823</v>
      </c>
      <c r="G1157" s="9">
        <v>0.47</v>
      </c>
      <c r="H1157" t="s">
        <v>26</v>
      </c>
      <c r="I1157" t="s">
        <v>3495</v>
      </c>
      <c r="J1157" s="14" t="s">
        <v>37</v>
      </c>
      <c r="K1157">
        <v>6</v>
      </c>
      <c r="L1157" t="s">
        <v>33</v>
      </c>
      <c r="M1157">
        <f>Table1[[#This Row],[UnitPrice]]*Table1[[#This Row],[Quantity]]</f>
        <v>26469</v>
      </c>
      <c r="N1157">
        <f>Table1[[#This Row],[Total Price]]*Table1[[#This Row],[Discount]]</f>
        <v>12440.429999999998</v>
      </c>
      <c r="O1157">
        <f>Table1[[#This Row],[Total Price]]-Table1[[#This Row],[Discount Amount]]</f>
        <v>14028.570000000002</v>
      </c>
    </row>
    <row r="1158" spans="1:15" x14ac:dyDescent="0.3">
      <c r="A1158" t="s">
        <v>3496</v>
      </c>
      <c r="B1158" s="1">
        <v>45126</v>
      </c>
      <c r="C1158" t="s">
        <v>3497</v>
      </c>
      <c r="D1158" t="s">
        <v>44</v>
      </c>
      <c r="E1158">
        <v>1</v>
      </c>
      <c r="F1158">
        <v>54065</v>
      </c>
      <c r="G1158" s="9">
        <v>0.02</v>
      </c>
      <c r="H1158" t="s">
        <v>26</v>
      </c>
      <c r="I1158" t="s">
        <v>3498</v>
      </c>
      <c r="J1158" s="13" t="s">
        <v>14</v>
      </c>
      <c r="K1158">
        <v>9</v>
      </c>
      <c r="L1158" t="s">
        <v>22</v>
      </c>
      <c r="M1158">
        <f>Table1[[#This Row],[UnitPrice]]*Table1[[#This Row],[Quantity]]</f>
        <v>54065</v>
      </c>
      <c r="N1158">
        <f>Table1[[#This Row],[Total Price]]*Table1[[#This Row],[Discount]]</f>
        <v>1081.3</v>
      </c>
      <c r="O1158">
        <f>Table1[[#This Row],[Total Price]]-Table1[[#This Row],[Discount Amount]]</f>
        <v>52983.7</v>
      </c>
    </row>
    <row r="1159" spans="1:15" x14ac:dyDescent="0.3">
      <c r="A1159" t="s">
        <v>3499</v>
      </c>
      <c r="B1159" s="1">
        <v>45441</v>
      </c>
      <c r="C1159" t="s">
        <v>3500</v>
      </c>
      <c r="D1159" t="s">
        <v>12</v>
      </c>
      <c r="E1159">
        <v>1</v>
      </c>
      <c r="F1159">
        <v>7643</v>
      </c>
      <c r="G1159" s="9">
        <v>0.01</v>
      </c>
      <c r="H1159" t="s">
        <v>13</v>
      </c>
      <c r="I1159" t="s">
        <v>3501</v>
      </c>
      <c r="J1159" s="14" t="s">
        <v>37</v>
      </c>
      <c r="K1159">
        <v>5</v>
      </c>
      <c r="L1159" t="s">
        <v>60</v>
      </c>
      <c r="M1159">
        <f>Table1[[#This Row],[UnitPrice]]*Table1[[#This Row],[Quantity]]</f>
        <v>7643</v>
      </c>
      <c r="N1159">
        <f>Table1[[#This Row],[Total Price]]*Table1[[#This Row],[Discount]]</f>
        <v>76.430000000000007</v>
      </c>
      <c r="O1159">
        <f>Table1[[#This Row],[Total Price]]-Table1[[#This Row],[Discount Amount]]</f>
        <v>7566.57</v>
      </c>
    </row>
    <row r="1160" spans="1:15" x14ac:dyDescent="0.3">
      <c r="A1160" t="s">
        <v>3502</v>
      </c>
      <c r="B1160" s="1">
        <v>45036</v>
      </c>
      <c r="C1160" t="s">
        <v>3503</v>
      </c>
      <c r="D1160" t="s">
        <v>12</v>
      </c>
      <c r="E1160">
        <v>1</v>
      </c>
      <c r="F1160">
        <v>3734</v>
      </c>
      <c r="G1160" s="9">
        <v>0.04</v>
      </c>
      <c r="H1160" t="s">
        <v>13</v>
      </c>
      <c r="I1160" t="s">
        <v>3504</v>
      </c>
      <c r="J1160" s="13" t="s">
        <v>73</v>
      </c>
      <c r="K1160">
        <v>4</v>
      </c>
      <c r="L1160" t="s">
        <v>22</v>
      </c>
      <c r="M1160">
        <f>Table1[[#This Row],[UnitPrice]]*Table1[[#This Row],[Quantity]]</f>
        <v>3734</v>
      </c>
      <c r="N1160">
        <f>Table1[[#This Row],[Total Price]]*Table1[[#This Row],[Discount]]</f>
        <v>149.36000000000001</v>
      </c>
      <c r="O1160">
        <f>Table1[[#This Row],[Total Price]]-Table1[[#This Row],[Discount Amount]]</f>
        <v>3584.64</v>
      </c>
    </row>
    <row r="1161" spans="1:15" x14ac:dyDescent="0.3">
      <c r="A1161" t="s">
        <v>3505</v>
      </c>
      <c r="B1161" s="1">
        <v>45345</v>
      </c>
      <c r="C1161" t="s">
        <v>3506</v>
      </c>
      <c r="D1161" t="s">
        <v>58</v>
      </c>
      <c r="E1161">
        <v>1</v>
      </c>
      <c r="F1161">
        <v>1431</v>
      </c>
      <c r="G1161" s="9">
        <v>0.03</v>
      </c>
      <c r="H1161" t="s">
        <v>13</v>
      </c>
      <c r="I1161" t="s">
        <v>3507</v>
      </c>
      <c r="J1161" s="14" t="s">
        <v>37</v>
      </c>
      <c r="K1161">
        <v>8</v>
      </c>
      <c r="L1161" t="s">
        <v>16</v>
      </c>
      <c r="M1161">
        <f>Table1[[#This Row],[UnitPrice]]*Table1[[#This Row],[Quantity]]</f>
        <v>1431</v>
      </c>
      <c r="N1161">
        <f>Table1[[#This Row],[Total Price]]*Table1[[#This Row],[Discount]]</f>
        <v>42.93</v>
      </c>
      <c r="O1161">
        <f>Table1[[#This Row],[Total Price]]-Table1[[#This Row],[Discount Amount]]</f>
        <v>1388.07</v>
      </c>
    </row>
    <row r="1162" spans="1:15" x14ac:dyDescent="0.3">
      <c r="A1162" t="s">
        <v>3508</v>
      </c>
      <c r="B1162" s="1">
        <v>45539</v>
      </c>
      <c r="C1162" t="s">
        <v>3509</v>
      </c>
      <c r="D1162" t="s">
        <v>58</v>
      </c>
      <c r="E1162">
        <v>3</v>
      </c>
      <c r="F1162">
        <v>5499</v>
      </c>
      <c r="G1162" s="9">
        <v>0.21</v>
      </c>
      <c r="H1162" t="s">
        <v>13</v>
      </c>
      <c r="I1162" t="s">
        <v>3510</v>
      </c>
      <c r="J1162" s="13" t="s">
        <v>14</v>
      </c>
      <c r="K1162">
        <v>5</v>
      </c>
      <c r="L1162" t="s">
        <v>28</v>
      </c>
      <c r="M1162">
        <f>Table1[[#This Row],[UnitPrice]]*Table1[[#This Row],[Quantity]]</f>
        <v>16497</v>
      </c>
      <c r="N1162">
        <f>Table1[[#This Row],[Total Price]]*Table1[[#This Row],[Discount]]</f>
        <v>3464.37</v>
      </c>
      <c r="O1162">
        <f>Table1[[#This Row],[Total Price]]-Table1[[#This Row],[Discount Amount]]</f>
        <v>13032.630000000001</v>
      </c>
    </row>
    <row r="1163" spans="1:15" x14ac:dyDescent="0.3">
      <c r="A1163" t="s">
        <v>3511</v>
      </c>
      <c r="B1163" s="1">
        <v>45215</v>
      </c>
      <c r="C1163" t="s">
        <v>3512</v>
      </c>
      <c r="D1163" t="s">
        <v>19</v>
      </c>
      <c r="E1163">
        <v>2</v>
      </c>
      <c r="F1163">
        <v>47758</v>
      </c>
      <c r="G1163" s="9">
        <v>0.47</v>
      </c>
      <c r="H1163" t="s">
        <v>50</v>
      </c>
      <c r="I1163" t="s">
        <v>3513</v>
      </c>
      <c r="J1163" s="14" t="s">
        <v>73</v>
      </c>
      <c r="K1163">
        <v>6</v>
      </c>
      <c r="L1163" t="s">
        <v>28</v>
      </c>
      <c r="M1163">
        <f>Table1[[#This Row],[UnitPrice]]*Table1[[#This Row],[Quantity]]</f>
        <v>95516</v>
      </c>
      <c r="N1163">
        <f>Table1[[#This Row],[Total Price]]*Table1[[#This Row],[Discount]]</f>
        <v>44892.52</v>
      </c>
      <c r="O1163">
        <f>Table1[[#This Row],[Total Price]]-Table1[[#This Row],[Discount Amount]]</f>
        <v>50623.48</v>
      </c>
    </row>
    <row r="1164" spans="1:15" x14ac:dyDescent="0.3">
      <c r="A1164" t="s">
        <v>3514</v>
      </c>
      <c r="B1164" s="1">
        <v>45727</v>
      </c>
      <c r="C1164" t="s">
        <v>3515</v>
      </c>
      <c r="D1164" t="s">
        <v>19</v>
      </c>
      <c r="E1164">
        <v>1</v>
      </c>
      <c r="F1164">
        <v>46407</v>
      </c>
      <c r="G1164" s="9">
        <v>0.34</v>
      </c>
      <c r="H1164" t="s">
        <v>13</v>
      </c>
      <c r="I1164" t="s">
        <v>3516</v>
      </c>
      <c r="J1164" s="13" t="s">
        <v>37</v>
      </c>
      <c r="K1164">
        <v>3</v>
      </c>
      <c r="L1164" t="s">
        <v>22</v>
      </c>
      <c r="M1164">
        <f>Table1[[#This Row],[UnitPrice]]*Table1[[#This Row],[Quantity]]</f>
        <v>46407</v>
      </c>
      <c r="N1164">
        <f>Table1[[#This Row],[Total Price]]*Table1[[#This Row],[Discount]]</f>
        <v>15778.380000000001</v>
      </c>
      <c r="O1164">
        <f>Table1[[#This Row],[Total Price]]-Table1[[#This Row],[Discount Amount]]</f>
        <v>30628.62</v>
      </c>
    </row>
    <row r="1165" spans="1:15" x14ac:dyDescent="0.3">
      <c r="A1165" t="s">
        <v>3517</v>
      </c>
      <c r="B1165" s="1">
        <v>45454</v>
      </c>
      <c r="C1165" t="s">
        <v>3518</v>
      </c>
      <c r="D1165" t="s">
        <v>44</v>
      </c>
      <c r="E1165">
        <v>1</v>
      </c>
      <c r="F1165">
        <v>44146</v>
      </c>
      <c r="G1165" s="9">
        <v>0.33</v>
      </c>
      <c r="H1165" t="s">
        <v>26</v>
      </c>
      <c r="I1165" t="s">
        <v>3519</v>
      </c>
      <c r="J1165" s="14" t="s">
        <v>37</v>
      </c>
      <c r="K1165">
        <v>7</v>
      </c>
      <c r="L1165" t="s">
        <v>16</v>
      </c>
      <c r="M1165">
        <f>Table1[[#This Row],[UnitPrice]]*Table1[[#This Row],[Quantity]]</f>
        <v>44146</v>
      </c>
      <c r="N1165">
        <f>Table1[[#This Row],[Total Price]]*Table1[[#This Row],[Discount]]</f>
        <v>14568.18</v>
      </c>
      <c r="O1165">
        <f>Table1[[#This Row],[Total Price]]-Table1[[#This Row],[Discount Amount]]</f>
        <v>29577.82</v>
      </c>
    </row>
    <row r="1166" spans="1:15" x14ac:dyDescent="0.3">
      <c r="A1166" t="s">
        <v>3520</v>
      </c>
      <c r="B1166" s="1">
        <v>45299</v>
      </c>
      <c r="C1166" t="s">
        <v>3521</v>
      </c>
      <c r="D1166" t="s">
        <v>25</v>
      </c>
      <c r="E1166">
        <v>1</v>
      </c>
      <c r="F1166">
        <v>5379</v>
      </c>
      <c r="G1166" s="9">
        <v>0.19</v>
      </c>
      <c r="H1166" t="s">
        <v>13</v>
      </c>
      <c r="I1166" t="s">
        <v>3522</v>
      </c>
      <c r="J1166" s="13" t="s">
        <v>37</v>
      </c>
      <c r="K1166">
        <v>6</v>
      </c>
      <c r="L1166" t="s">
        <v>28</v>
      </c>
      <c r="M1166">
        <f>Table1[[#This Row],[UnitPrice]]*Table1[[#This Row],[Quantity]]</f>
        <v>5379</v>
      </c>
      <c r="N1166">
        <f>Table1[[#This Row],[Total Price]]*Table1[[#This Row],[Discount]]</f>
        <v>1022.01</v>
      </c>
      <c r="O1166">
        <f>Table1[[#This Row],[Total Price]]-Table1[[#This Row],[Discount Amount]]</f>
        <v>4356.99</v>
      </c>
    </row>
    <row r="1167" spans="1:15" x14ac:dyDescent="0.3">
      <c r="A1167" t="s">
        <v>3523</v>
      </c>
      <c r="B1167" s="1">
        <v>45121</v>
      </c>
      <c r="C1167" t="s">
        <v>3524</v>
      </c>
      <c r="D1167" t="s">
        <v>31</v>
      </c>
      <c r="E1167">
        <v>3</v>
      </c>
      <c r="F1167">
        <v>15647</v>
      </c>
      <c r="G1167" s="9">
        <v>0.27</v>
      </c>
      <c r="H1167" t="s">
        <v>13</v>
      </c>
      <c r="I1167" t="s">
        <v>3525</v>
      </c>
      <c r="J1167" s="14" t="s">
        <v>73</v>
      </c>
      <c r="K1167">
        <v>3</v>
      </c>
      <c r="L1167" t="s">
        <v>60</v>
      </c>
      <c r="M1167">
        <f>Table1[[#This Row],[UnitPrice]]*Table1[[#This Row],[Quantity]]</f>
        <v>46941</v>
      </c>
      <c r="N1167">
        <f>Table1[[#This Row],[Total Price]]*Table1[[#This Row],[Discount]]</f>
        <v>12674.070000000002</v>
      </c>
      <c r="O1167">
        <f>Table1[[#This Row],[Total Price]]-Table1[[#This Row],[Discount Amount]]</f>
        <v>34266.93</v>
      </c>
    </row>
    <row r="1168" spans="1:15" x14ac:dyDescent="0.3">
      <c r="A1168" t="s">
        <v>3526</v>
      </c>
      <c r="B1168" s="1">
        <v>45138</v>
      </c>
      <c r="C1168" t="s">
        <v>3527</v>
      </c>
      <c r="D1168" t="s">
        <v>31</v>
      </c>
      <c r="E1168">
        <v>1</v>
      </c>
      <c r="F1168">
        <v>28470</v>
      </c>
      <c r="G1168" s="9">
        <v>0.15</v>
      </c>
      <c r="H1168" t="s">
        <v>50</v>
      </c>
      <c r="I1168" t="s">
        <v>3528</v>
      </c>
      <c r="J1168" s="13" t="s">
        <v>37</v>
      </c>
      <c r="K1168">
        <v>4</v>
      </c>
      <c r="L1168" t="s">
        <v>28</v>
      </c>
      <c r="M1168">
        <f>Table1[[#This Row],[UnitPrice]]*Table1[[#This Row],[Quantity]]</f>
        <v>28470</v>
      </c>
      <c r="N1168">
        <f>Table1[[#This Row],[Total Price]]*Table1[[#This Row],[Discount]]</f>
        <v>4270.5</v>
      </c>
      <c r="O1168">
        <f>Table1[[#This Row],[Total Price]]-Table1[[#This Row],[Discount Amount]]</f>
        <v>24199.5</v>
      </c>
    </row>
    <row r="1169" spans="1:15" x14ac:dyDescent="0.3">
      <c r="A1169" t="s">
        <v>3529</v>
      </c>
      <c r="B1169" s="1">
        <v>45216</v>
      </c>
      <c r="C1169" t="s">
        <v>3530</v>
      </c>
      <c r="D1169" t="s">
        <v>36</v>
      </c>
      <c r="E1169">
        <v>3</v>
      </c>
      <c r="F1169">
        <v>8957</v>
      </c>
      <c r="G1169" s="9">
        <v>0.26</v>
      </c>
      <c r="H1169" t="s">
        <v>26</v>
      </c>
      <c r="I1169" t="s">
        <v>3531</v>
      </c>
      <c r="J1169" s="14" t="s">
        <v>73</v>
      </c>
      <c r="K1169">
        <v>5</v>
      </c>
      <c r="L1169" t="s">
        <v>33</v>
      </c>
      <c r="M1169">
        <f>Table1[[#This Row],[UnitPrice]]*Table1[[#This Row],[Quantity]]</f>
        <v>26871</v>
      </c>
      <c r="N1169">
        <f>Table1[[#This Row],[Total Price]]*Table1[[#This Row],[Discount]]</f>
        <v>6986.46</v>
      </c>
      <c r="O1169">
        <f>Table1[[#This Row],[Total Price]]-Table1[[#This Row],[Discount Amount]]</f>
        <v>19884.54</v>
      </c>
    </row>
    <row r="1170" spans="1:15" x14ac:dyDescent="0.3">
      <c r="A1170" t="s">
        <v>3532</v>
      </c>
      <c r="B1170" s="1">
        <v>45024</v>
      </c>
      <c r="C1170" t="s">
        <v>3533</v>
      </c>
      <c r="D1170" t="s">
        <v>44</v>
      </c>
      <c r="E1170">
        <v>1</v>
      </c>
      <c r="F1170">
        <v>57198</v>
      </c>
      <c r="G1170" s="9">
        <v>0.37</v>
      </c>
      <c r="H1170" t="s">
        <v>26</v>
      </c>
      <c r="I1170" t="s">
        <v>3534</v>
      </c>
      <c r="J1170" s="13" t="s">
        <v>37</v>
      </c>
      <c r="K1170">
        <v>6</v>
      </c>
      <c r="L1170" t="s">
        <v>60</v>
      </c>
      <c r="M1170">
        <f>Table1[[#This Row],[UnitPrice]]*Table1[[#This Row],[Quantity]]</f>
        <v>57198</v>
      </c>
      <c r="N1170">
        <f>Table1[[#This Row],[Total Price]]*Table1[[#This Row],[Discount]]</f>
        <v>21163.26</v>
      </c>
      <c r="O1170">
        <f>Table1[[#This Row],[Total Price]]-Table1[[#This Row],[Discount Amount]]</f>
        <v>36034.740000000005</v>
      </c>
    </row>
    <row r="1171" spans="1:15" x14ac:dyDescent="0.3">
      <c r="A1171" t="s">
        <v>3535</v>
      </c>
      <c r="B1171" s="1">
        <v>45649</v>
      </c>
      <c r="C1171" t="s">
        <v>3536</v>
      </c>
      <c r="D1171" t="s">
        <v>31</v>
      </c>
      <c r="E1171">
        <v>2</v>
      </c>
      <c r="F1171">
        <v>49858</v>
      </c>
      <c r="G1171" s="9">
        <v>0.28000000000000003</v>
      </c>
      <c r="H1171" t="s">
        <v>50</v>
      </c>
      <c r="I1171" t="s">
        <v>3537</v>
      </c>
      <c r="J1171" s="14" t="s">
        <v>37</v>
      </c>
      <c r="K1171">
        <v>2</v>
      </c>
      <c r="L1171" t="s">
        <v>16</v>
      </c>
      <c r="M1171">
        <f>Table1[[#This Row],[UnitPrice]]*Table1[[#This Row],[Quantity]]</f>
        <v>99716</v>
      </c>
      <c r="N1171">
        <f>Table1[[#This Row],[Total Price]]*Table1[[#This Row],[Discount]]</f>
        <v>27920.480000000003</v>
      </c>
      <c r="O1171">
        <f>Table1[[#This Row],[Total Price]]-Table1[[#This Row],[Discount Amount]]</f>
        <v>71795.51999999999</v>
      </c>
    </row>
    <row r="1172" spans="1:15" x14ac:dyDescent="0.3">
      <c r="A1172" t="s">
        <v>3538</v>
      </c>
      <c r="B1172" s="1">
        <v>45141</v>
      </c>
      <c r="C1172" t="s">
        <v>3539</v>
      </c>
      <c r="D1172" t="s">
        <v>36</v>
      </c>
      <c r="E1172">
        <v>1</v>
      </c>
      <c r="F1172">
        <v>6618</v>
      </c>
      <c r="G1172" s="9">
        <v>0.21</v>
      </c>
      <c r="H1172" t="s">
        <v>50</v>
      </c>
      <c r="I1172" t="s">
        <v>3540</v>
      </c>
      <c r="J1172" s="13" t="s">
        <v>14</v>
      </c>
      <c r="K1172">
        <v>7</v>
      </c>
      <c r="L1172" t="s">
        <v>28</v>
      </c>
      <c r="M1172">
        <f>Table1[[#This Row],[UnitPrice]]*Table1[[#This Row],[Quantity]]</f>
        <v>6618</v>
      </c>
      <c r="N1172">
        <f>Table1[[#This Row],[Total Price]]*Table1[[#This Row],[Discount]]</f>
        <v>1389.78</v>
      </c>
      <c r="O1172">
        <f>Table1[[#This Row],[Total Price]]-Table1[[#This Row],[Discount Amount]]</f>
        <v>5228.22</v>
      </c>
    </row>
    <row r="1173" spans="1:15" x14ac:dyDescent="0.3">
      <c r="A1173" t="s">
        <v>3541</v>
      </c>
      <c r="B1173" s="1">
        <v>45166</v>
      </c>
      <c r="C1173" t="s">
        <v>3542</v>
      </c>
      <c r="D1173" t="s">
        <v>19</v>
      </c>
      <c r="E1173">
        <v>1</v>
      </c>
      <c r="F1173">
        <v>45004</v>
      </c>
      <c r="G1173" s="9">
        <v>0.42</v>
      </c>
      <c r="H1173" t="s">
        <v>26</v>
      </c>
      <c r="I1173" t="s">
        <v>3543</v>
      </c>
      <c r="J1173" s="14" t="s">
        <v>37</v>
      </c>
      <c r="K1173">
        <v>7</v>
      </c>
      <c r="L1173" t="s">
        <v>33</v>
      </c>
      <c r="M1173">
        <f>Table1[[#This Row],[UnitPrice]]*Table1[[#This Row],[Quantity]]</f>
        <v>45004</v>
      </c>
      <c r="N1173">
        <f>Table1[[#This Row],[Total Price]]*Table1[[#This Row],[Discount]]</f>
        <v>18901.68</v>
      </c>
      <c r="O1173">
        <f>Table1[[#This Row],[Total Price]]-Table1[[#This Row],[Discount Amount]]</f>
        <v>26102.32</v>
      </c>
    </row>
    <row r="1174" spans="1:15" x14ac:dyDescent="0.3">
      <c r="A1174" t="s">
        <v>3544</v>
      </c>
      <c r="B1174" s="1">
        <v>45692</v>
      </c>
      <c r="C1174" t="s">
        <v>3545</v>
      </c>
      <c r="D1174" t="s">
        <v>58</v>
      </c>
      <c r="E1174">
        <v>2</v>
      </c>
      <c r="F1174">
        <v>4540</v>
      </c>
      <c r="G1174" s="9">
        <v>0.14000000000000001</v>
      </c>
      <c r="H1174" t="s">
        <v>26</v>
      </c>
      <c r="I1174" t="s">
        <v>3546</v>
      </c>
      <c r="J1174" s="13" t="s">
        <v>73</v>
      </c>
      <c r="K1174">
        <v>8</v>
      </c>
      <c r="L1174" t="s">
        <v>16</v>
      </c>
      <c r="M1174">
        <f>Table1[[#This Row],[UnitPrice]]*Table1[[#This Row],[Quantity]]</f>
        <v>9080</v>
      </c>
      <c r="N1174">
        <f>Table1[[#This Row],[Total Price]]*Table1[[#This Row],[Discount]]</f>
        <v>1271.2</v>
      </c>
      <c r="O1174">
        <f>Table1[[#This Row],[Total Price]]-Table1[[#This Row],[Discount Amount]]</f>
        <v>7808.8</v>
      </c>
    </row>
    <row r="1175" spans="1:15" x14ac:dyDescent="0.3">
      <c r="A1175" t="s">
        <v>3547</v>
      </c>
      <c r="B1175" s="1">
        <v>45569</v>
      </c>
      <c r="C1175" t="s">
        <v>3548</v>
      </c>
      <c r="D1175" t="s">
        <v>12</v>
      </c>
      <c r="E1175">
        <v>3</v>
      </c>
      <c r="F1175">
        <v>5156</v>
      </c>
      <c r="G1175" s="9">
        <v>0.24</v>
      </c>
      <c r="H1175" t="s">
        <v>20</v>
      </c>
      <c r="I1175" t="s">
        <v>3549</v>
      </c>
      <c r="J1175" s="14" t="s">
        <v>14</v>
      </c>
      <c r="K1175">
        <v>4</v>
      </c>
      <c r="L1175" t="s">
        <v>28</v>
      </c>
      <c r="M1175">
        <f>Table1[[#This Row],[UnitPrice]]*Table1[[#This Row],[Quantity]]</f>
        <v>15468</v>
      </c>
      <c r="N1175">
        <f>Table1[[#This Row],[Total Price]]*Table1[[#This Row],[Discount]]</f>
        <v>3712.3199999999997</v>
      </c>
      <c r="O1175">
        <f>Table1[[#This Row],[Total Price]]-Table1[[#This Row],[Discount Amount]]</f>
        <v>11755.68</v>
      </c>
    </row>
    <row r="1176" spans="1:15" x14ac:dyDescent="0.3">
      <c r="A1176" t="s">
        <v>3550</v>
      </c>
      <c r="B1176" s="1">
        <v>45257</v>
      </c>
      <c r="C1176" t="s">
        <v>3551</v>
      </c>
      <c r="D1176" t="s">
        <v>36</v>
      </c>
      <c r="E1176">
        <v>1</v>
      </c>
      <c r="F1176">
        <v>8381</v>
      </c>
      <c r="G1176" s="9">
        <v>0.49</v>
      </c>
      <c r="H1176" t="s">
        <v>26</v>
      </c>
      <c r="I1176" t="s">
        <v>3552</v>
      </c>
      <c r="J1176" s="13" t="s">
        <v>14</v>
      </c>
      <c r="K1176">
        <v>5</v>
      </c>
      <c r="L1176" t="s">
        <v>28</v>
      </c>
      <c r="M1176">
        <f>Table1[[#This Row],[UnitPrice]]*Table1[[#This Row],[Quantity]]</f>
        <v>8381</v>
      </c>
      <c r="N1176">
        <f>Table1[[#This Row],[Total Price]]*Table1[[#This Row],[Discount]]</f>
        <v>4106.6899999999996</v>
      </c>
      <c r="O1176">
        <f>Table1[[#This Row],[Total Price]]-Table1[[#This Row],[Discount Amount]]</f>
        <v>4274.3100000000004</v>
      </c>
    </row>
    <row r="1177" spans="1:15" x14ac:dyDescent="0.3">
      <c r="A1177" t="s">
        <v>3553</v>
      </c>
      <c r="B1177" s="1">
        <v>45545</v>
      </c>
      <c r="C1177" t="s">
        <v>3554</v>
      </c>
      <c r="D1177" t="s">
        <v>36</v>
      </c>
      <c r="E1177">
        <v>1</v>
      </c>
      <c r="F1177">
        <v>8475</v>
      </c>
      <c r="G1177" s="9">
        <v>0.48</v>
      </c>
      <c r="H1177" t="s">
        <v>13</v>
      </c>
      <c r="I1177" t="s">
        <v>3555</v>
      </c>
      <c r="J1177" s="14" t="s">
        <v>14</v>
      </c>
      <c r="K1177">
        <v>8</v>
      </c>
      <c r="L1177" t="s">
        <v>22</v>
      </c>
      <c r="M1177">
        <f>Table1[[#This Row],[UnitPrice]]*Table1[[#This Row],[Quantity]]</f>
        <v>8475</v>
      </c>
      <c r="N1177">
        <f>Table1[[#This Row],[Total Price]]*Table1[[#This Row],[Discount]]</f>
        <v>4068</v>
      </c>
      <c r="O1177">
        <f>Table1[[#This Row],[Total Price]]-Table1[[#This Row],[Discount Amount]]</f>
        <v>4407</v>
      </c>
    </row>
    <row r="1178" spans="1:15" x14ac:dyDescent="0.3">
      <c r="A1178" t="s">
        <v>3556</v>
      </c>
      <c r="B1178" s="1">
        <v>45151</v>
      </c>
      <c r="C1178" t="s">
        <v>3557</v>
      </c>
      <c r="D1178" t="s">
        <v>25</v>
      </c>
      <c r="E1178">
        <v>2</v>
      </c>
      <c r="F1178">
        <v>4223</v>
      </c>
      <c r="G1178" s="9">
        <v>0</v>
      </c>
      <c r="H1178" t="s">
        <v>13</v>
      </c>
      <c r="I1178" t="s">
        <v>3558</v>
      </c>
      <c r="J1178" s="13" t="s">
        <v>73</v>
      </c>
      <c r="K1178">
        <v>2</v>
      </c>
      <c r="L1178" t="s">
        <v>28</v>
      </c>
      <c r="M1178">
        <f>Table1[[#This Row],[UnitPrice]]*Table1[[#This Row],[Quantity]]</f>
        <v>8446</v>
      </c>
      <c r="N1178">
        <f>Table1[[#This Row],[Total Price]]*Table1[[#This Row],[Discount]]</f>
        <v>0</v>
      </c>
      <c r="O1178">
        <f>Table1[[#This Row],[Total Price]]-Table1[[#This Row],[Discount Amount]]</f>
        <v>8446</v>
      </c>
    </row>
    <row r="1179" spans="1:15" x14ac:dyDescent="0.3">
      <c r="A1179" t="s">
        <v>3559</v>
      </c>
      <c r="B1179" s="1">
        <v>45043</v>
      </c>
      <c r="C1179" t="s">
        <v>3560</v>
      </c>
      <c r="D1179" t="s">
        <v>36</v>
      </c>
      <c r="E1179">
        <v>1</v>
      </c>
      <c r="F1179">
        <v>8755</v>
      </c>
      <c r="G1179" s="9">
        <v>0.27</v>
      </c>
      <c r="H1179" t="s">
        <v>50</v>
      </c>
      <c r="I1179" t="s">
        <v>3561</v>
      </c>
      <c r="J1179" s="14" t="s">
        <v>14</v>
      </c>
      <c r="K1179">
        <v>3</v>
      </c>
      <c r="L1179" t="s">
        <v>22</v>
      </c>
      <c r="M1179">
        <f>Table1[[#This Row],[UnitPrice]]*Table1[[#This Row],[Quantity]]</f>
        <v>8755</v>
      </c>
      <c r="N1179">
        <f>Table1[[#This Row],[Total Price]]*Table1[[#This Row],[Discount]]</f>
        <v>2363.8500000000004</v>
      </c>
      <c r="O1179">
        <f>Table1[[#This Row],[Total Price]]-Table1[[#This Row],[Discount Amount]]</f>
        <v>6391.15</v>
      </c>
    </row>
    <row r="1180" spans="1:15" x14ac:dyDescent="0.3">
      <c r="A1180" t="s">
        <v>3562</v>
      </c>
      <c r="B1180" s="1">
        <v>45543</v>
      </c>
      <c r="C1180" t="s">
        <v>3563</v>
      </c>
      <c r="D1180" t="s">
        <v>12</v>
      </c>
      <c r="E1180">
        <v>3</v>
      </c>
      <c r="F1180">
        <v>2955</v>
      </c>
      <c r="G1180" s="9">
        <v>0.17</v>
      </c>
      <c r="H1180" t="s">
        <v>26</v>
      </c>
      <c r="I1180" t="s">
        <v>3564</v>
      </c>
      <c r="J1180" s="13" t="s">
        <v>37</v>
      </c>
      <c r="K1180">
        <v>4</v>
      </c>
      <c r="L1180" t="s">
        <v>60</v>
      </c>
      <c r="M1180">
        <f>Table1[[#This Row],[UnitPrice]]*Table1[[#This Row],[Quantity]]</f>
        <v>8865</v>
      </c>
      <c r="N1180">
        <f>Table1[[#This Row],[Total Price]]*Table1[[#This Row],[Discount]]</f>
        <v>1507.0500000000002</v>
      </c>
      <c r="O1180">
        <f>Table1[[#This Row],[Total Price]]-Table1[[#This Row],[Discount Amount]]</f>
        <v>7357.95</v>
      </c>
    </row>
    <row r="1181" spans="1:15" x14ac:dyDescent="0.3">
      <c r="A1181" t="s">
        <v>3565</v>
      </c>
      <c r="B1181" s="1">
        <v>44934</v>
      </c>
      <c r="C1181" t="s">
        <v>3566</v>
      </c>
      <c r="D1181" t="s">
        <v>44</v>
      </c>
      <c r="E1181">
        <v>1</v>
      </c>
      <c r="F1181">
        <v>54345</v>
      </c>
      <c r="G1181" s="9">
        <v>0.15</v>
      </c>
      <c r="H1181" t="s">
        <v>26</v>
      </c>
      <c r="I1181" t="s">
        <v>3567</v>
      </c>
      <c r="J1181" s="14" t="s">
        <v>37</v>
      </c>
      <c r="K1181">
        <v>6</v>
      </c>
      <c r="L1181" t="s">
        <v>16</v>
      </c>
      <c r="M1181">
        <f>Table1[[#This Row],[UnitPrice]]*Table1[[#This Row],[Quantity]]</f>
        <v>54345</v>
      </c>
      <c r="N1181">
        <f>Table1[[#This Row],[Total Price]]*Table1[[#This Row],[Discount]]</f>
        <v>8151.75</v>
      </c>
      <c r="O1181">
        <f>Table1[[#This Row],[Total Price]]-Table1[[#This Row],[Discount Amount]]</f>
        <v>46193.25</v>
      </c>
    </row>
    <row r="1182" spans="1:15" x14ac:dyDescent="0.3">
      <c r="A1182" t="s">
        <v>3568</v>
      </c>
      <c r="B1182" s="1">
        <v>45230</v>
      </c>
      <c r="C1182" t="s">
        <v>3569</v>
      </c>
      <c r="D1182" t="s">
        <v>31</v>
      </c>
      <c r="E1182">
        <v>1</v>
      </c>
      <c r="F1182">
        <v>28616</v>
      </c>
      <c r="G1182" s="9">
        <v>0.3</v>
      </c>
      <c r="H1182" t="s">
        <v>13</v>
      </c>
      <c r="I1182" t="s">
        <v>3570</v>
      </c>
      <c r="J1182" s="13" t="s">
        <v>73</v>
      </c>
      <c r="K1182">
        <v>8</v>
      </c>
      <c r="L1182" t="s">
        <v>60</v>
      </c>
      <c r="M1182">
        <f>Table1[[#This Row],[UnitPrice]]*Table1[[#This Row],[Quantity]]</f>
        <v>28616</v>
      </c>
      <c r="N1182">
        <f>Table1[[#This Row],[Total Price]]*Table1[[#This Row],[Discount]]</f>
        <v>8584.7999999999993</v>
      </c>
      <c r="O1182">
        <f>Table1[[#This Row],[Total Price]]-Table1[[#This Row],[Discount Amount]]</f>
        <v>20031.2</v>
      </c>
    </row>
    <row r="1183" spans="1:15" x14ac:dyDescent="0.3">
      <c r="A1183" t="s">
        <v>3571</v>
      </c>
      <c r="B1183" s="1">
        <v>45134</v>
      </c>
      <c r="C1183" t="s">
        <v>3572</v>
      </c>
      <c r="D1183" t="s">
        <v>58</v>
      </c>
      <c r="E1183">
        <v>1</v>
      </c>
      <c r="F1183">
        <v>5815</v>
      </c>
      <c r="G1183" s="9">
        <v>0.22</v>
      </c>
      <c r="H1183" t="s">
        <v>20</v>
      </c>
      <c r="I1183" t="s">
        <v>3573</v>
      </c>
      <c r="J1183" s="14" t="s">
        <v>73</v>
      </c>
      <c r="K1183">
        <v>7</v>
      </c>
      <c r="L1183" t="s">
        <v>16</v>
      </c>
      <c r="M1183">
        <f>Table1[[#This Row],[UnitPrice]]*Table1[[#This Row],[Quantity]]</f>
        <v>5815</v>
      </c>
      <c r="N1183">
        <f>Table1[[#This Row],[Total Price]]*Table1[[#This Row],[Discount]]</f>
        <v>1279.3</v>
      </c>
      <c r="O1183">
        <f>Table1[[#This Row],[Total Price]]-Table1[[#This Row],[Discount Amount]]</f>
        <v>4535.7</v>
      </c>
    </row>
    <row r="1184" spans="1:15" x14ac:dyDescent="0.3">
      <c r="A1184" t="s">
        <v>3574</v>
      </c>
      <c r="B1184" s="1">
        <v>45822</v>
      </c>
      <c r="C1184" t="s">
        <v>3575</v>
      </c>
      <c r="D1184" t="s">
        <v>31</v>
      </c>
      <c r="E1184">
        <v>3</v>
      </c>
      <c r="F1184">
        <v>31349</v>
      </c>
      <c r="G1184" s="9">
        <v>0.37</v>
      </c>
      <c r="H1184" t="s">
        <v>45</v>
      </c>
      <c r="I1184" t="s">
        <v>3576</v>
      </c>
      <c r="J1184" s="13" t="s">
        <v>14</v>
      </c>
      <c r="K1184">
        <v>3</v>
      </c>
      <c r="L1184" t="s">
        <v>60</v>
      </c>
      <c r="M1184">
        <f>Table1[[#This Row],[UnitPrice]]*Table1[[#This Row],[Quantity]]</f>
        <v>94047</v>
      </c>
      <c r="N1184">
        <f>Table1[[#This Row],[Total Price]]*Table1[[#This Row],[Discount]]</f>
        <v>34797.39</v>
      </c>
      <c r="O1184">
        <f>Table1[[#This Row],[Total Price]]-Table1[[#This Row],[Discount Amount]]</f>
        <v>59249.61</v>
      </c>
    </row>
    <row r="1185" spans="1:15" x14ac:dyDescent="0.3">
      <c r="A1185" t="s">
        <v>3577</v>
      </c>
      <c r="B1185" s="1">
        <v>45021</v>
      </c>
      <c r="C1185" t="s">
        <v>3578</v>
      </c>
      <c r="D1185" t="s">
        <v>58</v>
      </c>
      <c r="E1185">
        <v>3</v>
      </c>
      <c r="F1185">
        <v>2615</v>
      </c>
      <c r="G1185" s="9">
        <v>0.01</v>
      </c>
      <c r="H1185" t="s">
        <v>45</v>
      </c>
      <c r="I1185" t="s">
        <v>3579</v>
      </c>
      <c r="J1185" s="14" t="s">
        <v>14</v>
      </c>
      <c r="K1185">
        <v>6</v>
      </c>
      <c r="L1185" t="s">
        <v>22</v>
      </c>
      <c r="M1185">
        <f>Table1[[#This Row],[UnitPrice]]*Table1[[#This Row],[Quantity]]</f>
        <v>7845</v>
      </c>
      <c r="N1185">
        <f>Table1[[#This Row],[Total Price]]*Table1[[#This Row],[Discount]]</f>
        <v>78.45</v>
      </c>
      <c r="O1185">
        <f>Table1[[#This Row],[Total Price]]-Table1[[#This Row],[Discount Amount]]</f>
        <v>7766.55</v>
      </c>
    </row>
    <row r="1186" spans="1:15" x14ac:dyDescent="0.3">
      <c r="A1186" t="s">
        <v>3580</v>
      </c>
      <c r="B1186" s="1">
        <v>45196</v>
      </c>
      <c r="C1186" t="s">
        <v>3581</v>
      </c>
      <c r="D1186" t="s">
        <v>44</v>
      </c>
      <c r="E1186">
        <v>2</v>
      </c>
      <c r="F1186">
        <v>37500</v>
      </c>
      <c r="G1186" s="9">
        <v>0.46</v>
      </c>
      <c r="H1186" t="s">
        <v>45</v>
      </c>
      <c r="I1186" t="s">
        <v>3582</v>
      </c>
      <c r="J1186" s="13" t="s">
        <v>37</v>
      </c>
      <c r="K1186">
        <v>4</v>
      </c>
      <c r="L1186" t="s">
        <v>60</v>
      </c>
      <c r="M1186">
        <f>Table1[[#This Row],[UnitPrice]]*Table1[[#This Row],[Quantity]]</f>
        <v>75000</v>
      </c>
      <c r="N1186">
        <f>Table1[[#This Row],[Total Price]]*Table1[[#This Row],[Discount]]</f>
        <v>34500</v>
      </c>
      <c r="O1186">
        <f>Table1[[#This Row],[Total Price]]-Table1[[#This Row],[Discount Amount]]</f>
        <v>40500</v>
      </c>
    </row>
    <row r="1187" spans="1:15" x14ac:dyDescent="0.3">
      <c r="A1187" t="s">
        <v>3583</v>
      </c>
      <c r="B1187" s="1">
        <v>45481</v>
      </c>
      <c r="C1187" t="s">
        <v>3584</v>
      </c>
      <c r="D1187" t="s">
        <v>31</v>
      </c>
      <c r="E1187">
        <v>2</v>
      </c>
      <c r="F1187">
        <v>27361</v>
      </c>
      <c r="G1187" s="9">
        <v>0.28000000000000003</v>
      </c>
      <c r="H1187" t="s">
        <v>45</v>
      </c>
      <c r="I1187" t="s">
        <v>3585</v>
      </c>
      <c r="J1187" s="14" t="s">
        <v>14</v>
      </c>
      <c r="K1187">
        <v>6</v>
      </c>
      <c r="L1187" t="s">
        <v>60</v>
      </c>
      <c r="M1187">
        <f>Table1[[#This Row],[UnitPrice]]*Table1[[#This Row],[Quantity]]</f>
        <v>54722</v>
      </c>
      <c r="N1187">
        <f>Table1[[#This Row],[Total Price]]*Table1[[#This Row],[Discount]]</f>
        <v>15322.160000000002</v>
      </c>
      <c r="O1187">
        <f>Table1[[#This Row],[Total Price]]-Table1[[#This Row],[Discount Amount]]</f>
        <v>39399.839999999997</v>
      </c>
    </row>
    <row r="1188" spans="1:15" x14ac:dyDescent="0.3">
      <c r="A1188" t="s">
        <v>3586</v>
      </c>
      <c r="B1188" s="1">
        <v>45248</v>
      </c>
      <c r="C1188" t="s">
        <v>3587</v>
      </c>
      <c r="D1188" t="s">
        <v>12</v>
      </c>
      <c r="E1188">
        <v>1</v>
      </c>
      <c r="F1188">
        <v>2237</v>
      </c>
      <c r="G1188" s="9">
        <v>0.34</v>
      </c>
      <c r="H1188" t="s">
        <v>50</v>
      </c>
      <c r="I1188" t="s">
        <v>3588</v>
      </c>
      <c r="J1188" s="13" t="s">
        <v>14</v>
      </c>
      <c r="K1188">
        <v>6</v>
      </c>
      <c r="L1188" t="s">
        <v>33</v>
      </c>
      <c r="M1188">
        <f>Table1[[#This Row],[UnitPrice]]*Table1[[#This Row],[Quantity]]</f>
        <v>2237</v>
      </c>
      <c r="N1188">
        <f>Table1[[#This Row],[Total Price]]*Table1[[#This Row],[Discount]]</f>
        <v>760.58</v>
      </c>
      <c r="O1188">
        <f>Table1[[#This Row],[Total Price]]-Table1[[#This Row],[Discount Amount]]</f>
        <v>1476.42</v>
      </c>
    </row>
    <row r="1189" spans="1:15" x14ac:dyDescent="0.3">
      <c r="A1189" t="s">
        <v>3589</v>
      </c>
      <c r="B1189" s="1">
        <v>45364</v>
      </c>
      <c r="C1189" t="s">
        <v>3590</v>
      </c>
      <c r="D1189" t="s">
        <v>58</v>
      </c>
      <c r="E1189">
        <v>3</v>
      </c>
      <c r="F1189">
        <v>3020</v>
      </c>
      <c r="G1189" s="9">
        <v>0.3</v>
      </c>
      <c r="H1189" t="s">
        <v>45</v>
      </c>
      <c r="I1189" t="s">
        <v>3591</v>
      </c>
      <c r="J1189" s="14" t="s">
        <v>37</v>
      </c>
      <c r="K1189">
        <v>7</v>
      </c>
      <c r="L1189" t="s">
        <v>28</v>
      </c>
      <c r="M1189">
        <f>Table1[[#This Row],[UnitPrice]]*Table1[[#This Row],[Quantity]]</f>
        <v>9060</v>
      </c>
      <c r="N1189">
        <f>Table1[[#This Row],[Total Price]]*Table1[[#This Row],[Discount]]</f>
        <v>2718</v>
      </c>
      <c r="O1189">
        <f>Table1[[#This Row],[Total Price]]-Table1[[#This Row],[Discount Amount]]</f>
        <v>6342</v>
      </c>
    </row>
    <row r="1190" spans="1:15" x14ac:dyDescent="0.3">
      <c r="A1190" t="s">
        <v>3592</v>
      </c>
      <c r="B1190" s="1">
        <v>45206</v>
      </c>
      <c r="C1190" t="s">
        <v>3593</v>
      </c>
      <c r="D1190" t="s">
        <v>36</v>
      </c>
      <c r="E1190">
        <v>3</v>
      </c>
      <c r="F1190">
        <v>8654</v>
      </c>
      <c r="G1190" s="9">
        <v>0.49</v>
      </c>
      <c r="H1190" t="s">
        <v>45</v>
      </c>
      <c r="I1190" t="s">
        <v>3594</v>
      </c>
      <c r="J1190" s="13" t="s">
        <v>14</v>
      </c>
      <c r="K1190">
        <v>5</v>
      </c>
      <c r="L1190" t="s">
        <v>33</v>
      </c>
      <c r="M1190">
        <f>Table1[[#This Row],[UnitPrice]]*Table1[[#This Row],[Quantity]]</f>
        <v>25962</v>
      </c>
      <c r="N1190">
        <f>Table1[[#This Row],[Total Price]]*Table1[[#This Row],[Discount]]</f>
        <v>12721.38</v>
      </c>
      <c r="O1190">
        <f>Table1[[#This Row],[Total Price]]-Table1[[#This Row],[Discount Amount]]</f>
        <v>13240.62</v>
      </c>
    </row>
    <row r="1191" spans="1:15" x14ac:dyDescent="0.3">
      <c r="A1191" t="s">
        <v>3595</v>
      </c>
      <c r="B1191" s="1">
        <v>45521</v>
      </c>
      <c r="C1191" t="s">
        <v>3596</v>
      </c>
      <c r="D1191" t="s">
        <v>25</v>
      </c>
      <c r="E1191">
        <v>2</v>
      </c>
      <c r="F1191">
        <v>8657</v>
      </c>
      <c r="G1191" s="9">
        <v>0.49</v>
      </c>
      <c r="H1191" t="s">
        <v>50</v>
      </c>
      <c r="I1191" t="s">
        <v>3597</v>
      </c>
      <c r="J1191" s="14" t="s">
        <v>14</v>
      </c>
      <c r="K1191">
        <v>7</v>
      </c>
      <c r="L1191" t="s">
        <v>22</v>
      </c>
      <c r="M1191">
        <f>Table1[[#This Row],[UnitPrice]]*Table1[[#This Row],[Quantity]]</f>
        <v>17314</v>
      </c>
      <c r="N1191">
        <f>Table1[[#This Row],[Total Price]]*Table1[[#This Row],[Discount]]</f>
        <v>8483.86</v>
      </c>
      <c r="O1191">
        <f>Table1[[#This Row],[Total Price]]-Table1[[#This Row],[Discount Amount]]</f>
        <v>8830.14</v>
      </c>
    </row>
    <row r="1192" spans="1:15" x14ac:dyDescent="0.3">
      <c r="A1192" t="s">
        <v>3598</v>
      </c>
      <c r="B1192" s="1">
        <v>45816</v>
      </c>
      <c r="C1192" t="s">
        <v>3599</v>
      </c>
      <c r="D1192" t="s">
        <v>58</v>
      </c>
      <c r="E1192">
        <v>1</v>
      </c>
      <c r="F1192">
        <v>8082</v>
      </c>
      <c r="G1192" s="9">
        <v>0.3</v>
      </c>
      <c r="H1192" t="s">
        <v>26</v>
      </c>
      <c r="I1192" t="s">
        <v>3600</v>
      </c>
      <c r="J1192" s="13" t="s">
        <v>14</v>
      </c>
      <c r="K1192">
        <v>6</v>
      </c>
      <c r="L1192" t="s">
        <v>16</v>
      </c>
      <c r="M1192">
        <f>Table1[[#This Row],[UnitPrice]]*Table1[[#This Row],[Quantity]]</f>
        <v>8082</v>
      </c>
      <c r="N1192">
        <f>Table1[[#This Row],[Total Price]]*Table1[[#This Row],[Discount]]</f>
        <v>2424.6</v>
      </c>
      <c r="O1192">
        <f>Table1[[#This Row],[Total Price]]-Table1[[#This Row],[Discount Amount]]</f>
        <v>5657.4</v>
      </c>
    </row>
    <row r="1193" spans="1:15" x14ac:dyDescent="0.3">
      <c r="A1193" t="s">
        <v>3601</v>
      </c>
      <c r="B1193" s="1">
        <v>45698</v>
      </c>
      <c r="C1193" t="s">
        <v>3602</v>
      </c>
      <c r="D1193" t="s">
        <v>58</v>
      </c>
      <c r="E1193">
        <v>1</v>
      </c>
      <c r="F1193">
        <v>4299</v>
      </c>
      <c r="G1193" s="9">
        <v>0.34</v>
      </c>
      <c r="H1193" t="s">
        <v>45</v>
      </c>
      <c r="I1193" t="s">
        <v>3603</v>
      </c>
      <c r="J1193" s="14" t="s">
        <v>73</v>
      </c>
      <c r="K1193">
        <v>5</v>
      </c>
      <c r="L1193" t="s">
        <v>16</v>
      </c>
      <c r="M1193">
        <f>Table1[[#This Row],[UnitPrice]]*Table1[[#This Row],[Quantity]]</f>
        <v>4299</v>
      </c>
      <c r="N1193">
        <f>Table1[[#This Row],[Total Price]]*Table1[[#This Row],[Discount]]</f>
        <v>1461.66</v>
      </c>
      <c r="O1193">
        <f>Table1[[#This Row],[Total Price]]-Table1[[#This Row],[Discount Amount]]</f>
        <v>2837.34</v>
      </c>
    </row>
    <row r="1194" spans="1:15" x14ac:dyDescent="0.3">
      <c r="A1194" t="s">
        <v>3604</v>
      </c>
      <c r="B1194" s="1">
        <v>45350</v>
      </c>
      <c r="C1194" t="s">
        <v>3605</v>
      </c>
      <c r="D1194" t="s">
        <v>31</v>
      </c>
      <c r="E1194">
        <v>2</v>
      </c>
      <c r="F1194">
        <v>31521</v>
      </c>
      <c r="G1194" s="9">
        <v>0.31</v>
      </c>
      <c r="H1194" t="s">
        <v>20</v>
      </c>
      <c r="I1194" t="s">
        <v>3606</v>
      </c>
      <c r="J1194" s="13" t="s">
        <v>73</v>
      </c>
      <c r="K1194">
        <v>4</v>
      </c>
      <c r="L1194" t="s">
        <v>16</v>
      </c>
      <c r="M1194">
        <f>Table1[[#This Row],[UnitPrice]]*Table1[[#This Row],[Quantity]]</f>
        <v>63042</v>
      </c>
      <c r="N1194">
        <f>Table1[[#This Row],[Total Price]]*Table1[[#This Row],[Discount]]</f>
        <v>19543.02</v>
      </c>
      <c r="O1194">
        <f>Table1[[#This Row],[Total Price]]-Table1[[#This Row],[Discount Amount]]</f>
        <v>43498.979999999996</v>
      </c>
    </row>
    <row r="1195" spans="1:15" x14ac:dyDescent="0.3">
      <c r="A1195" t="s">
        <v>3607</v>
      </c>
      <c r="B1195" s="1">
        <v>45824</v>
      </c>
      <c r="C1195" t="s">
        <v>3608</v>
      </c>
      <c r="D1195" t="s">
        <v>25</v>
      </c>
      <c r="E1195">
        <v>3</v>
      </c>
      <c r="F1195">
        <v>16524</v>
      </c>
      <c r="G1195" s="9">
        <v>0.16</v>
      </c>
      <c r="H1195" t="s">
        <v>50</v>
      </c>
      <c r="I1195" t="s">
        <v>3609</v>
      </c>
      <c r="J1195" s="14" t="s">
        <v>37</v>
      </c>
      <c r="K1195">
        <v>1</v>
      </c>
      <c r="L1195" t="s">
        <v>28</v>
      </c>
      <c r="M1195">
        <f>Table1[[#This Row],[UnitPrice]]*Table1[[#This Row],[Quantity]]</f>
        <v>49572</v>
      </c>
      <c r="N1195">
        <f>Table1[[#This Row],[Total Price]]*Table1[[#This Row],[Discount]]</f>
        <v>7931.52</v>
      </c>
      <c r="O1195">
        <f>Table1[[#This Row],[Total Price]]-Table1[[#This Row],[Discount Amount]]</f>
        <v>41640.479999999996</v>
      </c>
    </row>
    <row r="1196" spans="1:15" x14ac:dyDescent="0.3">
      <c r="A1196" t="s">
        <v>3610</v>
      </c>
      <c r="B1196" s="1">
        <v>45249</v>
      </c>
      <c r="C1196" t="s">
        <v>3611</v>
      </c>
      <c r="D1196" t="s">
        <v>36</v>
      </c>
      <c r="E1196">
        <v>3</v>
      </c>
      <c r="F1196">
        <v>7135</v>
      </c>
      <c r="G1196" s="9">
        <v>0.1</v>
      </c>
      <c r="H1196" t="s">
        <v>50</v>
      </c>
      <c r="I1196" t="s">
        <v>3612</v>
      </c>
      <c r="J1196" s="13" t="s">
        <v>73</v>
      </c>
      <c r="K1196">
        <v>4</v>
      </c>
      <c r="L1196" t="s">
        <v>28</v>
      </c>
      <c r="M1196">
        <f>Table1[[#This Row],[UnitPrice]]*Table1[[#This Row],[Quantity]]</f>
        <v>21405</v>
      </c>
      <c r="N1196">
        <f>Table1[[#This Row],[Total Price]]*Table1[[#This Row],[Discount]]</f>
        <v>2140.5</v>
      </c>
      <c r="O1196">
        <f>Table1[[#This Row],[Total Price]]-Table1[[#This Row],[Discount Amount]]</f>
        <v>19264.5</v>
      </c>
    </row>
    <row r="1197" spans="1:15" x14ac:dyDescent="0.3">
      <c r="A1197" t="s">
        <v>3613</v>
      </c>
      <c r="B1197" s="1">
        <v>45463</v>
      </c>
      <c r="C1197" t="s">
        <v>3614</v>
      </c>
      <c r="D1197" t="s">
        <v>58</v>
      </c>
      <c r="E1197">
        <v>3</v>
      </c>
      <c r="F1197">
        <v>6991</v>
      </c>
      <c r="G1197" s="9">
        <v>0.2</v>
      </c>
      <c r="H1197" t="s">
        <v>26</v>
      </c>
      <c r="I1197" t="s">
        <v>3615</v>
      </c>
      <c r="J1197" s="14" t="s">
        <v>14</v>
      </c>
      <c r="K1197">
        <v>6</v>
      </c>
      <c r="L1197" t="s">
        <v>60</v>
      </c>
      <c r="M1197">
        <f>Table1[[#This Row],[UnitPrice]]*Table1[[#This Row],[Quantity]]</f>
        <v>20973</v>
      </c>
      <c r="N1197">
        <f>Table1[[#This Row],[Total Price]]*Table1[[#This Row],[Discount]]</f>
        <v>4194.6000000000004</v>
      </c>
      <c r="O1197">
        <f>Table1[[#This Row],[Total Price]]-Table1[[#This Row],[Discount Amount]]</f>
        <v>16778.400000000001</v>
      </c>
    </row>
    <row r="1198" spans="1:15" x14ac:dyDescent="0.3">
      <c r="A1198" t="s">
        <v>3616</v>
      </c>
      <c r="B1198" s="1">
        <v>45355</v>
      </c>
      <c r="C1198" t="s">
        <v>3617</v>
      </c>
      <c r="D1198" t="s">
        <v>12</v>
      </c>
      <c r="E1198">
        <v>3</v>
      </c>
      <c r="F1198">
        <v>8527</v>
      </c>
      <c r="G1198" s="9">
        <v>0.34</v>
      </c>
      <c r="H1198" t="s">
        <v>20</v>
      </c>
      <c r="I1198" t="s">
        <v>3618</v>
      </c>
      <c r="J1198" s="13" t="s">
        <v>37</v>
      </c>
      <c r="K1198">
        <v>5</v>
      </c>
      <c r="L1198" t="s">
        <v>33</v>
      </c>
      <c r="M1198">
        <f>Table1[[#This Row],[UnitPrice]]*Table1[[#This Row],[Quantity]]</f>
        <v>25581</v>
      </c>
      <c r="N1198">
        <f>Table1[[#This Row],[Total Price]]*Table1[[#This Row],[Discount]]</f>
        <v>8697.5400000000009</v>
      </c>
      <c r="O1198">
        <f>Table1[[#This Row],[Total Price]]-Table1[[#This Row],[Discount Amount]]</f>
        <v>16883.46</v>
      </c>
    </row>
    <row r="1199" spans="1:15" x14ac:dyDescent="0.3">
      <c r="A1199" t="s">
        <v>3619</v>
      </c>
      <c r="B1199" s="1">
        <v>45120</v>
      </c>
      <c r="C1199" t="s">
        <v>3620</v>
      </c>
      <c r="D1199" t="s">
        <v>25</v>
      </c>
      <c r="E1199">
        <v>1</v>
      </c>
      <c r="F1199">
        <v>7355</v>
      </c>
      <c r="G1199" s="9">
        <v>0.03</v>
      </c>
      <c r="H1199" t="s">
        <v>20</v>
      </c>
      <c r="I1199" t="s">
        <v>3621</v>
      </c>
      <c r="J1199" s="14" t="s">
        <v>37</v>
      </c>
      <c r="K1199">
        <v>2</v>
      </c>
      <c r="L1199" t="s">
        <v>16</v>
      </c>
      <c r="M1199">
        <f>Table1[[#This Row],[UnitPrice]]*Table1[[#This Row],[Quantity]]</f>
        <v>7355</v>
      </c>
      <c r="N1199">
        <f>Table1[[#This Row],[Total Price]]*Table1[[#This Row],[Discount]]</f>
        <v>220.65</v>
      </c>
      <c r="O1199">
        <f>Table1[[#This Row],[Total Price]]-Table1[[#This Row],[Discount Amount]]</f>
        <v>7134.35</v>
      </c>
    </row>
    <row r="1200" spans="1:15" x14ac:dyDescent="0.3">
      <c r="A1200" t="s">
        <v>3622</v>
      </c>
      <c r="B1200" s="1">
        <v>45526</v>
      </c>
      <c r="C1200" t="s">
        <v>3623</v>
      </c>
      <c r="D1200" t="s">
        <v>31</v>
      </c>
      <c r="E1200">
        <v>1</v>
      </c>
      <c r="F1200">
        <v>31880</v>
      </c>
      <c r="G1200" s="9">
        <v>0.26</v>
      </c>
      <c r="H1200" t="s">
        <v>13</v>
      </c>
      <c r="I1200" t="s">
        <v>3624</v>
      </c>
      <c r="J1200" s="13" t="s">
        <v>73</v>
      </c>
      <c r="K1200">
        <v>4</v>
      </c>
      <c r="L1200" t="s">
        <v>16</v>
      </c>
      <c r="M1200">
        <f>Table1[[#This Row],[UnitPrice]]*Table1[[#This Row],[Quantity]]</f>
        <v>31880</v>
      </c>
      <c r="N1200">
        <f>Table1[[#This Row],[Total Price]]*Table1[[#This Row],[Discount]]</f>
        <v>8288.8000000000011</v>
      </c>
      <c r="O1200">
        <f>Table1[[#This Row],[Total Price]]-Table1[[#This Row],[Discount Amount]]</f>
        <v>23591.199999999997</v>
      </c>
    </row>
    <row r="1201" spans="1:15" x14ac:dyDescent="0.3">
      <c r="A1201" t="s">
        <v>3625</v>
      </c>
      <c r="B1201" s="1">
        <v>45088</v>
      </c>
      <c r="C1201" t="s">
        <v>3626</v>
      </c>
      <c r="D1201" t="s">
        <v>25</v>
      </c>
      <c r="E1201">
        <v>2</v>
      </c>
      <c r="F1201">
        <v>4510</v>
      </c>
      <c r="G1201" s="9">
        <v>0.2</v>
      </c>
      <c r="H1201" t="s">
        <v>45</v>
      </c>
      <c r="I1201" t="s">
        <v>3627</v>
      </c>
      <c r="J1201" s="15" t="s">
        <v>14</v>
      </c>
      <c r="K1201">
        <v>6</v>
      </c>
      <c r="L1201" t="s">
        <v>22</v>
      </c>
      <c r="M1201">
        <f>Table1[[#This Row],[UnitPrice]]*Table1[[#This Row],[Quantity]]</f>
        <v>9020</v>
      </c>
      <c r="N1201">
        <f>Table1[[#This Row],[Total Price]]*Table1[[#This Row],[Discount]]</f>
        <v>1804</v>
      </c>
      <c r="O1201">
        <f>Table1[[#This Row],[Total Price]]-Table1[[#This Row],[Discount Amount]]</f>
        <v>7216</v>
      </c>
    </row>
  </sheetData>
  <conditionalFormatting sqref="G2:G1201">
    <cfRule type="colorScale" priority="22">
      <colorScale>
        <cfvo type="min"/>
        <cfvo type="percentile" val="50"/>
        <cfvo type="max"/>
        <color rgb="FFF8696B"/>
        <color rgb="FFFFEB84"/>
        <color rgb="FF63BE7B"/>
      </colorScale>
    </cfRule>
  </conditionalFormatting>
  <conditionalFormatting sqref="J2:J1201">
    <cfRule type="containsText" dxfId="43" priority="1" operator="containsText" text="Pending">
      <formula>NOT(ISERROR(SEARCH("Pending",J2)))</formula>
    </cfRule>
    <cfRule type="containsText" dxfId="42" priority="2" operator="containsText" text="Shipped">
      <formula>NOT(ISERROR(SEARCH("Shipped",J2)))</formula>
    </cfRule>
    <cfRule type="containsText" dxfId="41" priority="5" operator="containsText" text="del">
      <formula>NOT(ISERROR(SEARCH("del",J2)))</formula>
    </cfRule>
  </conditionalFormatting>
  <conditionalFormatting sqref="M2:M1201">
    <cfRule type="top10" dxfId="40" priority="13"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B34F-2F6A-4F16-9BEF-F6A068795219}">
  <dimension ref="A3:N56"/>
  <sheetViews>
    <sheetView tabSelected="1" zoomScale="92" workbookViewId="0">
      <selection activeCell="B14" sqref="B14"/>
    </sheetView>
  </sheetViews>
  <sheetFormatPr defaultRowHeight="14.4" x14ac:dyDescent="0.3"/>
  <cols>
    <col min="1" max="1" width="18" bestFit="1" customWidth="1"/>
    <col min="2" max="2" width="22.88671875" bestFit="1" customWidth="1"/>
    <col min="5" max="5" width="18" bestFit="1" customWidth="1"/>
    <col min="6" max="6" width="22.88671875" bestFit="1" customWidth="1"/>
    <col min="8" max="8" width="18" bestFit="1" customWidth="1"/>
    <col min="9" max="9" width="34.33203125" bestFit="1" customWidth="1"/>
    <col min="10" max="10" width="22.88671875" bestFit="1" customWidth="1"/>
    <col min="11" max="11" width="15.109375" bestFit="1" customWidth="1"/>
    <col min="12" max="12" width="24.6640625" bestFit="1" customWidth="1"/>
    <col min="13" max="14" width="20.88671875" bestFit="1" customWidth="1"/>
  </cols>
  <sheetData>
    <row r="3" spans="1:10" x14ac:dyDescent="0.3">
      <c r="A3" s="4" t="s">
        <v>3628</v>
      </c>
      <c r="B3" t="s">
        <v>3636</v>
      </c>
      <c r="E3" s="4" t="s">
        <v>3628</v>
      </c>
      <c r="F3" t="s">
        <v>3630</v>
      </c>
    </row>
    <row r="4" spans="1:10" x14ac:dyDescent="0.3">
      <c r="A4" s="5" t="s">
        <v>44</v>
      </c>
      <c r="B4" s="10">
        <v>17297776</v>
      </c>
      <c r="E4" s="5" t="s">
        <v>44</v>
      </c>
      <c r="F4" s="24">
        <v>349</v>
      </c>
      <c r="I4" s="4" t="s">
        <v>3628</v>
      </c>
      <c r="J4" t="s">
        <v>3645</v>
      </c>
    </row>
    <row r="5" spans="1:10" x14ac:dyDescent="0.3">
      <c r="A5" s="5" t="s">
        <v>12</v>
      </c>
      <c r="B5" s="10">
        <v>1951277</v>
      </c>
      <c r="E5" s="5" t="s">
        <v>12</v>
      </c>
      <c r="F5" s="24">
        <v>335</v>
      </c>
      <c r="I5" s="5" t="s">
        <v>37</v>
      </c>
      <c r="J5" s="24">
        <v>395</v>
      </c>
    </row>
    <row r="6" spans="1:10" x14ac:dyDescent="0.3">
      <c r="A6" s="5" t="s">
        <v>19</v>
      </c>
      <c r="B6" s="10">
        <v>9813343</v>
      </c>
      <c r="E6" s="5" t="s">
        <v>19</v>
      </c>
      <c r="F6" s="24">
        <v>310</v>
      </c>
      <c r="I6" s="5" t="s">
        <v>73</v>
      </c>
      <c r="J6" s="24">
        <v>399</v>
      </c>
    </row>
    <row r="7" spans="1:10" x14ac:dyDescent="0.3">
      <c r="A7" s="5" t="s">
        <v>36</v>
      </c>
      <c r="B7" s="10">
        <v>2607326</v>
      </c>
      <c r="E7" s="5" t="s">
        <v>36</v>
      </c>
      <c r="F7" s="24">
        <v>343</v>
      </c>
      <c r="I7" s="5" t="s">
        <v>14</v>
      </c>
      <c r="J7" s="24">
        <v>406</v>
      </c>
    </row>
    <row r="8" spans="1:10" x14ac:dyDescent="0.3">
      <c r="A8" s="5" t="s">
        <v>58</v>
      </c>
      <c r="B8" s="10">
        <v>1743613</v>
      </c>
      <c r="E8" s="5" t="s">
        <v>58</v>
      </c>
      <c r="F8" s="24">
        <v>323</v>
      </c>
      <c r="I8" s="5" t="s">
        <v>3629</v>
      </c>
      <c r="J8" s="24">
        <v>1200</v>
      </c>
    </row>
    <row r="9" spans="1:10" x14ac:dyDescent="0.3">
      <c r="A9" s="5" t="s">
        <v>25</v>
      </c>
      <c r="B9" s="10">
        <v>3758917</v>
      </c>
      <c r="E9" s="5" t="s">
        <v>25</v>
      </c>
      <c r="F9" s="24">
        <v>364</v>
      </c>
    </row>
    <row r="10" spans="1:10" x14ac:dyDescent="0.3">
      <c r="A10" s="5" t="s">
        <v>31</v>
      </c>
      <c r="B10" s="10">
        <v>10587432</v>
      </c>
      <c r="E10" s="5" t="s">
        <v>31</v>
      </c>
      <c r="F10" s="24">
        <v>345</v>
      </c>
    </row>
    <row r="11" spans="1:10" x14ac:dyDescent="0.3">
      <c r="A11" s="5" t="s">
        <v>3629</v>
      </c>
      <c r="B11" s="10">
        <v>47759684</v>
      </c>
      <c r="E11" s="5" t="s">
        <v>3629</v>
      </c>
      <c r="F11" s="24">
        <v>2369</v>
      </c>
    </row>
    <row r="15" spans="1:10" x14ac:dyDescent="0.3">
      <c r="E15" s="4" t="s">
        <v>3628</v>
      </c>
      <c r="F15" t="s">
        <v>3636</v>
      </c>
      <c r="H15" s="4" t="s">
        <v>3628</v>
      </c>
      <c r="I15" t="s">
        <v>3644</v>
      </c>
    </row>
    <row r="16" spans="1:10" x14ac:dyDescent="0.3">
      <c r="A16" s="4" t="s">
        <v>3628</v>
      </c>
      <c r="B16" t="s">
        <v>3636</v>
      </c>
      <c r="E16" s="5" t="s">
        <v>3641</v>
      </c>
      <c r="F16" s="10">
        <v>20171898</v>
      </c>
      <c r="H16" s="5" t="s">
        <v>50</v>
      </c>
      <c r="I16" s="19">
        <v>10784.533617886174</v>
      </c>
    </row>
    <row r="17" spans="1:14" x14ac:dyDescent="0.3">
      <c r="A17" s="5" t="s">
        <v>28</v>
      </c>
      <c r="B17" s="10">
        <v>10421780</v>
      </c>
      <c r="E17" s="5" t="s">
        <v>3642</v>
      </c>
      <c r="F17" s="10">
        <v>17930940</v>
      </c>
      <c r="H17" s="5" t="s">
        <v>26</v>
      </c>
      <c r="I17" s="19">
        <v>9607.8132905982911</v>
      </c>
    </row>
    <row r="18" spans="1:14" x14ac:dyDescent="0.3">
      <c r="A18" s="5" t="s">
        <v>33</v>
      </c>
      <c r="B18" s="10">
        <v>8582874</v>
      </c>
      <c r="E18" s="5" t="s">
        <v>3643</v>
      </c>
      <c r="F18" s="10">
        <v>9656846</v>
      </c>
      <c r="H18" s="5" t="s">
        <v>13</v>
      </c>
      <c r="I18" s="19">
        <v>9604.9595258620739</v>
      </c>
    </row>
    <row r="19" spans="1:14" x14ac:dyDescent="0.3">
      <c r="A19" s="5" t="s">
        <v>60</v>
      </c>
      <c r="B19" s="10">
        <v>9978570</v>
      </c>
      <c r="E19" s="5" t="s">
        <v>3629</v>
      </c>
      <c r="F19" s="10">
        <v>47759684</v>
      </c>
      <c r="H19" s="5" t="s">
        <v>45</v>
      </c>
      <c r="I19" s="19">
        <v>10555.399434782621</v>
      </c>
    </row>
    <row r="20" spans="1:14" x14ac:dyDescent="0.3">
      <c r="A20" s="5" t="s">
        <v>16</v>
      </c>
      <c r="B20" s="10">
        <v>9965062</v>
      </c>
      <c r="H20" s="5" t="s">
        <v>20</v>
      </c>
      <c r="I20" s="19">
        <v>10129.637984496125</v>
      </c>
    </row>
    <row r="21" spans="1:14" x14ac:dyDescent="0.3">
      <c r="A21" s="5" t="s">
        <v>22</v>
      </c>
      <c r="B21" s="10">
        <v>8811398</v>
      </c>
      <c r="H21" s="5" t="s">
        <v>3629</v>
      </c>
      <c r="I21" s="19">
        <v>10142.302216666654</v>
      </c>
    </row>
    <row r="22" spans="1:14" x14ac:dyDescent="0.3">
      <c r="A22" s="5" t="s">
        <v>3629</v>
      </c>
      <c r="B22" s="10">
        <v>47759684</v>
      </c>
    </row>
    <row r="24" spans="1:14" x14ac:dyDescent="0.3">
      <c r="J24" t="s">
        <v>3636</v>
      </c>
      <c r="K24" t="s">
        <v>3630</v>
      </c>
      <c r="L24" t="s">
        <v>3640</v>
      </c>
      <c r="M24" t="s">
        <v>3645</v>
      </c>
      <c r="N24" t="s">
        <v>3646</v>
      </c>
    </row>
    <row r="25" spans="1:14" x14ac:dyDescent="0.3">
      <c r="J25" s="24">
        <v>47759684</v>
      </c>
      <c r="K25" s="24">
        <v>2369</v>
      </c>
      <c r="L25" s="24">
        <v>0.2483999999999999</v>
      </c>
      <c r="M25" s="24">
        <v>1200</v>
      </c>
      <c r="N25" s="24">
        <v>35588921.339999996</v>
      </c>
    </row>
    <row r="27" spans="1:14" x14ac:dyDescent="0.3">
      <c r="A27" s="4" t="s">
        <v>3628</v>
      </c>
      <c r="B27" t="s">
        <v>3636</v>
      </c>
      <c r="J27" s="10">
        <f>GETPIVOTDATA("Total Price",$J$24)</f>
        <v>47759684</v>
      </c>
      <c r="K27">
        <f>GETPIVOTDATA("Quantity",$K$24)</f>
        <v>2369</v>
      </c>
      <c r="L27" s="18">
        <f>GETPIVOTDATA("Discount",$L$24)</f>
        <v>0.2483999999999999</v>
      </c>
      <c r="M27">
        <f>GETPIVOTDATA("Count of Product",$L$24)</f>
        <v>1200</v>
      </c>
      <c r="N27" s="10">
        <f>GETPIVOTDATA("Net Price",$N$24)</f>
        <v>35588921.339999996</v>
      </c>
    </row>
    <row r="28" spans="1:14" x14ac:dyDescent="0.3">
      <c r="A28" s="5" t="s">
        <v>50</v>
      </c>
      <c r="B28" s="10">
        <v>10345021</v>
      </c>
    </row>
    <row r="29" spans="1:14" x14ac:dyDescent="0.3">
      <c r="A29" s="5" t="s">
        <v>26</v>
      </c>
      <c r="B29" s="10">
        <v>8764459</v>
      </c>
    </row>
    <row r="30" spans="1:14" x14ac:dyDescent="0.3">
      <c r="A30" s="5" t="s">
        <v>13</v>
      </c>
      <c r="B30" s="10">
        <v>9095688</v>
      </c>
    </row>
    <row r="31" spans="1:14" x14ac:dyDescent="0.3">
      <c r="A31" s="5" t="s">
        <v>45</v>
      </c>
      <c r="B31" s="10">
        <v>9331662</v>
      </c>
    </row>
    <row r="32" spans="1:14" x14ac:dyDescent="0.3">
      <c r="A32" s="5" t="s">
        <v>20</v>
      </c>
      <c r="B32" s="10">
        <v>10222854</v>
      </c>
    </row>
    <row r="33" spans="1:2" x14ac:dyDescent="0.3">
      <c r="A33" s="5" t="s">
        <v>3629</v>
      </c>
      <c r="B33" s="10">
        <v>47759684</v>
      </c>
    </row>
    <row r="56" spans="7:7" x14ac:dyDescent="0.3">
      <c r="G56" t="s">
        <v>3637</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38AE-826B-42A5-9D51-C7B4B28704B9}">
  <dimension ref="AT23"/>
  <sheetViews>
    <sheetView topLeftCell="E1" zoomScale="41" zoomScaleNormal="58" workbookViewId="0">
      <selection activeCell="BC21" sqref="BC21"/>
    </sheetView>
  </sheetViews>
  <sheetFormatPr defaultRowHeight="14.4" x14ac:dyDescent="0.3"/>
  <sheetData>
    <row r="23" spans="46:46" ht="51.6" x14ac:dyDescent="0.95">
      <c r="AT23" s="22" t="s">
        <v>3647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Mihir Apkare</cp:lastModifiedBy>
  <dcterms:created xsi:type="dcterms:W3CDTF">2025-06-21T13:19:12Z</dcterms:created>
  <dcterms:modified xsi:type="dcterms:W3CDTF">2026-08-29T09:54:48Z</dcterms:modified>
</cp:coreProperties>
</file>